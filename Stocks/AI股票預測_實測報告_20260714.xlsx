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明細平衡版1日" sheetId="2" state="visible" r:id="rId4"/>
    <sheet name="明細平衡版5日" sheetId="3" state="visible" r:id="rId5"/>
    <sheet name="明細基準版1日" sheetId="4" state="visible" r:id="rId6"/>
    <sheet name="明細基準版5日" sheetId="5" state="visible" r:id="rId7"/>
    <sheet name="準確度指標" sheetId="6" state="visible" r:id="rId8"/>
    <sheet name="混淆矩陣" sheetId="7" state="visible" r:id="rId9"/>
    <sheet name="最新預測" sheetId="8" state="visible" r:id="rId10"/>
    <sheet name="實地驗證0713_0714" sheetId="9" state="visible" r:id="rId11"/>
    <sheet name="資料驗證" sheetId="10" state="visible" r:id="rId12"/>
    <sheet name="方法與限制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<sst xmlns="http://schemas.openxmlformats.org/spreadsheetml/2006/main" count="10204" uniqueCount="234">
  <si>
    <r>
      <rPr>
        <b val="true"/>
        <sz val="16"/>
        <color rgb="FF000000"/>
        <rFont val="Microsoft JhengHei"/>
        <family val="0"/>
        <charset val="1"/>
      </rPr>
      <t xml:space="preserve">AI </t>
    </r>
    <r>
      <rPr>
        <b val="true"/>
        <sz val="16"/>
        <color rgb="FF000000"/>
        <rFont val="Noto Sans CJK SC"/>
        <family val="2"/>
      </rPr>
      <t xml:space="preserve">股票預測 — 單次執行結果與真實準確度報告</t>
    </r>
  </si>
  <si>
    <r>
      <rPr>
        <sz val="11"/>
        <color rgb="FF595959"/>
        <rFont val="Noto Sans CJK SC"/>
        <family val="2"/>
      </rPr>
      <t xml:space="preserve">產生時間</t>
    </r>
    <r>
      <rPr>
        <sz val="11"/>
        <color rgb="FF595959"/>
        <rFont val="Microsoft JhengHei"/>
        <family val="0"/>
        <charset val="1"/>
      </rPr>
      <t xml:space="preserve">:2026-07-14 21:45 CST|</t>
    </r>
    <r>
      <rPr>
        <sz val="11"/>
        <color rgb="FF595959"/>
        <rFont val="Noto Sans CJK SC"/>
        <family val="2"/>
      </rPr>
      <t xml:space="preserve">資料</t>
    </r>
    <r>
      <rPr>
        <sz val="11"/>
        <color rgb="FF595959"/>
        <rFont val="Microsoft JhengHei"/>
        <family val="0"/>
        <charset val="1"/>
      </rPr>
      <t xml:space="preserve">:</t>
    </r>
    <r>
      <rPr>
        <sz val="11"/>
        <color rgb="FF595959"/>
        <rFont val="Noto Sans CJK SC"/>
        <family val="2"/>
      </rPr>
      <t xml:space="preserve">台灣證券交易所</t>
    </r>
    <r>
      <rPr>
        <sz val="11"/>
        <color rgb="FF595959"/>
        <rFont val="Microsoft JhengHei"/>
        <family val="0"/>
        <charset val="1"/>
      </rPr>
      <t xml:space="preserve">(TWSE)</t>
    </r>
    <r>
      <rPr>
        <sz val="11"/>
        <color rgb="FF595959"/>
        <rFont val="Noto Sans CJK SC"/>
        <family val="2"/>
      </rPr>
      <t xml:space="preserve">官方 </t>
    </r>
    <r>
      <rPr>
        <sz val="11"/>
        <color rgb="FF595959"/>
        <rFont val="Microsoft JhengHei"/>
        <family val="0"/>
        <charset val="1"/>
      </rPr>
      <t xml:space="preserve">API + Yahoo</t>
    </r>
    <r>
      <rPr>
        <sz val="11"/>
        <color rgb="FF595959"/>
        <rFont val="Noto Sans CJK SC"/>
        <family val="2"/>
      </rPr>
      <t xml:space="preserve">股市交叉驗證</t>
    </r>
    <r>
      <rPr>
        <sz val="11"/>
        <color rgb="FF595959"/>
        <rFont val="Microsoft JhengHei"/>
        <family val="0"/>
        <charset val="1"/>
      </rPr>
      <t xml:space="preserve">|</t>
    </r>
    <r>
      <rPr>
        <sz val="11"/>
        <color rgb="FF595959"/>
        <rFont val="Noto Sans CJK SC"/>
        <family val="2"/>
      </rPr>
      <t xml:space="preserve">標的</t>
    </r>
    <r>
      <rPr>
        <sz val="11"/>
        <color rgb="FF595959"/>
        <rFont val="Microsoft JhengHei"/>
        <family val="0"/>
        <charset val="1"/>
      </rPr>
      <t xml:space="preserve">:</t>
    </r>
    <r>
      <rPr>
        <sz val="11"/>
        <color rgb="FF595959"/>
        <rFont val="Noto Sans CJK SC"/>
        <family val="2"/>
      </rPr>
      <t xml:space="preserve">台股</t>
    </r>
    <r>
      <rPr>
        <sz val="11"/>
        <color rgb="FF595959"/>
        <rFont val="Microsoft JhengHei"/>
        <family val="0"/>
        <charset val="1"/>
      </rPr>
      <t xml:space="preserve">6</t>
    </r>
    <r>
      <rPr>
        <sz val="11"/>
        <color rgb="FF595959"/>
        <rFont val="Noto Sans CJK SC"/>
        <family val="2"/>
      </rPr>
      <t xml:space="preserve">檔權值股</t>
    </r>
    <r>
      <rPr>
        <sz val="11"/>
        <color rgb="FF595959"/>
        <rFont val="Microsoft JhengHei"/>
        <family val="0"/>
        <charset val="1"/>
      </rPr>
      <t xml:space="preserve">|</t>
    </r>
    <r>
      <rPr>
        <sz val="11"/>
        <color rgb="FF595959"/>
        <rFont val="Noto Sans CJK SC"/>
        <family val="2"/>
      </rPr>
      <t xml:space="preserve">模型</t>
    </r>
    <r>
      <rPr>
        <sz val="11"/>
        <color rgb="FF595959"/>
        <rFont val="Microsoft JhengHei"/>
        <family val="0"/>
        <charset val="1"/>
      </rPr>
      <t xml:space="preserve">:LightGBM 3</t>
    </r>
    <r>
      <rPr>
        <sz val="11"/>
        <color rgb="FF595959"/>
        <rFont val="Noto Sans CJK SC"/>
        <family val="2"/>
      </rPr>
      <t xml:space="preserve">類</t>
    </r>
    <r>
      <rPr>
        <sz val="11"/>
        <color rgb="FF595959"/>
        <rFont val="Microsoft JhengHei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依 </t>
    </r>
    <r>
      <rPr>
        <sz val="11"/>
        <color rgb="FF595959"/>
        <rFont val="Microsoft JhengHei"/>
        <family val="0"/>
        <charset val="1"/>
      </rPr>
      <t xml:space="preserve">repo ml/ </t>
    </r>
    <r>
      <rPr>
        <sz val="11"/>
        <color rgb="FF595959"/>
        <rFont val="Noto Sans CJK SC"/>
        <family val="2"/>
      </rPr>
      <t xml:space="preserve">設計</t>
    </r>
    <r>
      <rPr>
        <sz val="11"/>
        <color rgb="FF595959"/>
        <rFont val="Microsoft JhengHei"/>
        <family val="0"/>
        <charset val="1"/>
      </rPr>
      <t xml:space="preserve">)</t>
    </r>
  </si>
  <si>
    <r>
      <rPr>
        <b val="true"/>
        <sz val="11"/>
        <color rgb="FF9C0006"/>
        <rFont val="Noto Sans CJK SC"/>
        <family val="2"/>
      </rPr>
      <t xml:space="preserve">★ 給部署決策的一句話</t>
    </r>
    <r>
      <rPr>
        <b val="true"/>
        <sz val="11"/>
        <color rgb="FF9C0006"/>
        <rFont val="Microsoft JhengHei"/>
        <family val="0"/>
        <charset val="1"/>
      </rPr>
      <t xml:space="preserve">:</t>
    </r>
    <r>
      <rPr>
        <b val="true"/>
        <sz val="11"/>
        <color rgb="FF9C0006"/>
        <rFont val="Noto Sans CJK SC"/>
        <family val="2"/>
      </rPr>
      <t xml:space="preserve">模型樣本外準確度未超越天真基準線</t>
    </r>
    <r>
      <rPr>
        <b val="true"/>
        <sz val="11"/>
        <color rgb="FF9C0006"/>
        <rFont val="Microsoft JhengHei"/>
        <family val="0"/>
        <charset val="1"/>
      </rPr>
      <t xml:space="preserve">(</t>
    </r>
    <r>
      <rPr>
        <b val="true"/>
        <sz val="11"/>
        <color rgb="FF9C0006"/>
        <rFont val="Noto Sans CJK SC"/>
        <family val="2"/>
      </rPr>
      <t xml:space="preserve">永遠猜上漲</t>
    </r>
    <r>
      <rPr>
        <b val="true"/>
        <sz val="11"/>
        <color rgb="FF9C0006"/>
        <rFont val="Microsoft JhengHei"/>
        <family val="0"/>
        <charset val="1"/>
      </rPr>
      <t xml:space="preserve">/</t>
    </r>
    <r>
      <rPr>
        <b val="true"/>
        <sz val="11"/>
        <color rgb="FF9C0006"/>
        <rFont val="Noto Sans CJK SC"/>
        <family val="2"/>
      </rPr>
      <t xml:space="preserve">沿用昨日方向</t>
    </r>
    <r>
      <rPr>
        <b val="true"/>
        <sz val="11"/>
        <color rgb="FF9C0006"/>
        <rFont val="Microsoft JhengHei"/>
        <family val="0"/>
        <charset val="1"/>
      </rPr>
      <t xml:space="preserve">),</t>
    </r>
    <r>
      <rPr>
        <b val="true"/>
        <sz val="11"/>
        <color rgb="FF9C0006"/>
        <rFont val="Noto Sans CJK SC"/>
        <family val="2"/>
      </rPr>
      <t xml:space="preserve">不建議依此上線付費功能。</t>
    </r>
  </si>
  <si>
    <r>
      <rPr>
        <b val="true"/>
        <sz val="11"/>
        <color rgb="FF000000"/>
        <rFont val="Noto Sans CJK SC"/>
        <family val="2"/>
      </rPr>
      <t xml:space="preserve">關鍵數字</t>
    </r>
    <r>
      <rPr>
        <b val="true"/>
        <sz val="11"/>
        <color rgb="FF000000"/>
        <rFont val="Microsoft JhengHei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活公式引用進一步工作表</t>
    </r>
    <r>
      <rPr>
        <b val="true"/>
        <sz val="11"/>
        <color rgb="FF000000"/>
        <rFont val="Microsoft JhengHei"/>
        <family val="0"/>
        <charset val="1"/>
      </rPr>
      <t xml:space="preserve">)</t>
    </r>
  </si>
  <si>
    <t xml:space="preserve">指標</t>
  </si>
  <si>
    <r>
      <rPr>
        <b val="true"/>
        <sz val="11"/>
        <color rgb="FFFFFFFF"/>
        <rFont val="Noto Sans CJK SC"/>
        <family val="2"/>
      </rPr>
      <t xml:space="preserve">平衡版</t>
    </r>
    <r>
      <rPr>
        <b val="true"/>
        <sz val="11"/>
        <color rgb="FFFFFFFF"/>
        <rFont val="Microsoft JhengHei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</si>
  <si>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Noto Sans CJK SC"/>
        <family val="2"/>
      </rPr>
      <t xml:space="preserve">平衡版</t>
    </r>
    <r>
      <rPr>
        <b val="true"/>
        <sz val="11"/>
        <color rgb="FFFFFFFF"/>
        <rFont val="Microsoft JhengHei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</si>
  <si>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Noto Sans CJK SC"/>
        <family val="2"/>
      </rPr>
      <t xml:space="preserve">基準版</t>
    </r>
    <r>
      <rPr>
        <b val="true"/>
        <sz val="11"/>
        <color rgb="FFFFFFFF"/>
        <rFont val="Microsoft JhengHei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</si>
  <si>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Noto Sans CJK SC"/>
        <family val="2"/>
      </rPr>
      <t xml:space="preserve">基準版</t>
    </r>
    <r>
      <rPr>
        <b val="true"/>
        <sz val="11"/>
        <color rgb="FFFFFFFF"/>
        <rFont val="Microsoft JhengHei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</si>
  <si>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sz val="11"/>
        <color rgb="FF000000"/>
        <rFont val="Noto Sans CJK SC"/>
        <family val="2"/>
      </rPr>
      <t xml:space="preserve">樣本外準確率</t>
    </r>
    <r>
      <rPr>
        <sz val="11"/>
        <color rgb="FF000000"/>
        <rFont val="Microsoft JhengHei"/>
        <family val="0"/>
        <charset val="1"/>
      </rPr>
      <t xml:space="preserve">(walk-forward)</t>
    </r>
  </si>
  <si>
    <r>
      <rPr>
        <sz val="11"/>
        <color rgb="FF000000"/>
        <rFont val="Noto Sans CJK SC"/>
        <family val="2"/>
      </rPr>
      <t xml:space="preserve">基準線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Noto Sans CJK SC"/>
        <family val="2"/>
      </rPr>
      <t xml:space="preserve">永遠猜「上漲」</t>
    </r>
  </si>
  <si>
    <r>
      <rPr>
        <sz val="11"/>
        <color rgb="FF000000"/>
        <rFont val="Noto Sans CJK SC"/>
        <family val="2"/>
      </rPr>
      <t xml:space="preserve">模型贏過基準線</t>
    </r>
    <r>
      <rPr>
        <sz val="11"/>
        <color rgb="FF000000"/>
        <rFont val="Microsoft JhengHei"/>
        <family val="0"/>
        <charset val="1"/>
      </rPr>
      <t xml:space="preserve">?</t>
    </r>
  </si>
  <si>
    <r>
      <rPr>
        <sz val="11"/>
        <color rgb="FF000000"/>
        <rFont val="Noto Sans CJK SC"/>
        <family val="2"/>
      </rPr>
      <t xml:space="preserve">測試樣本數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筆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全為樣本外</t>
    </r>
    <r>
      <rPr>
        <sz val="11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</si>
  <si>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資料真實性</t>
    </r>
    <r>
      <rPr>
        <sz val="11"/>
        <color rgb="FF000000"/>
        <rFont val="Microsoft JhengHei"/>
        <family val="0"/>
        <charset val="1"/>
      </rPr>
      <t xml:space="preserve">:TWSE </t>
    </r>
    <r>
      <rPr>
        <sz val="11"/>
        <color rgb="FF000000"/>
        <rFont val="Noto Sans CJK SC"/>
        <family val="2"/>
      </rPr>
      <t xml:space="preserve">日線 </t>
    </r>
    <r>
      <rPr>
        <sz val="11"/>
        <color rgb="FF000000"/>
        <rFont val="Microsoft JhengHei"/>
        <family val="0"/>
        <charset val="1"/>
      </rPr>
      <t xml:space="preserve">× TWSE </t>
    </r>
    <r>
      <rPr>
        <sz val="11"/>
        <color rgb="FF000000"/>
        <rFont val="Noto Sans CJK SC"/>
        <family val="2"/>
      </rPr>
      <t xml:space="preserve">即時 </t>
    </r>
    <r>
      <rPr>
        <sz val="11"/>
        <color rgb="FF000000"/>
        <rFont val="Microsoft JhengHei"/>
        <family val="0"/>
        <charset val="1"/>
      </rPr>
      <t xml:space="preserve">API × Yahoo</t>
    </r>
    <r>
      <rPr>
        <sz val="11"/>
        <color rgb="FF000000"/>
        <rFont val="Noto Sans CJK SC"/>
        <family val="2"/>
      </rPr>
      <t xml:space="preserve">股市 三方核對 </t>
    </r>
    <r>
      <rPr>
        <sz val="11"/>
        <color rgb="FF000000"/>
        <rFont val="Microsoft JhengHei"/>
        <family val="0"/>
        <charset val="1"/>
      </rPr>
      <t xml:space="preserve">7/9 </t>
    </r>
    <r>
      <rPr>
        <sz val="11"/>
        <color rgb="FF000000"/>
        <rFont val="Noto Sans CJK SC"/>
        <family val="2"/>
      </rPr>
      <t xml:space="preserve">收盤全數一致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詳「資料驗證」表</t>
    </r>
    <r>
      <rPr>
        <sz val="11"/>
        <color rgb="FF000000"/>
        <rFont val="Microsoft JhengHei"/>
        <family val="0"/>
        <charset val="1"/>
      </rPr>
      <t xml:space="preserve">);7/13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Microsoft JhengHei"/>
        <family val="0"/>
        <charset val="1"/>
      </rPr>
      <t xml:space="preserve">7/14 </t>
    </r>
    <r>
      <rPr>
        <sz val="11"/>
        <color rgb="FF000000"/>
        <rFont val="Noto Sans CJK SC"/>
        <family val="2"/>
      </rPr>
      <t xml:space="preserve">預測於結果實現前產生並以實際收盤驗證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詳「實地驗證」表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。</t>
    </r>
  </si>
  <si>
    <r>
      <rPr>
        <sz val="11"/>
        <color rgb="FF595959"/>
        <rFont val="Noto Sans CJK SC"/>
        <family val="2"/>
      </rPr>
      <t xml:space="preserve">工作表導覽</t>
    </r>
    <r>
      <rPr>
        <sz val="11"/>
        <color rgb="FF595959"/>
        <rFont val="Microsoft JhengHei"/>
        <family val="0"/>
        <charset val="1"/>
      </rPr>
      <t xml:space="preserve">:</t>
    </r>
    <r>
      <rPr>
        <sz val="11"/>
        <color rgb="FF595959"/>
        <rFont val="Noto Sans CJK SC"/>
        <family val="2"/>
      </rPr>
      <t xml:space="preserve">最新預測</t>
    </r>
    <r>
      <rPr>
        <sz val="11"/>
        <color rgb="FF595959"/>
        <rFont val="Microsoft JhengHei"/>
        <family val="0"/>
        <charset val="1"/>
      </rPr>
      <t xml:space="preserve">|</t>
    </r>
    <r>
      <rPr>
        <sz val="11"/>
        <color rgb="FF595959"/>
        <rFont val="Noto Sans CJK SC"/>
        <family val="2"/>
      </rPr>
      <t xml:space="preserve">準確度指標</t>
    </r>
    <r>
      <rPr>
        <sz val="11"/>
        <color rgb="FF595959"/>
        <rFont val="Microsoft JhengHei"/>
        <family val="0"/>
        <charset val="1"/>
      </rPr>
      <t xml:space="preserve">|</t>
    </r>
    <r>
      <rPr>
        <sz val="11"/>
        <color rgb="FF595959"/>
        <rFont val="Noto Sans CJK SC"/>
        <family val="2"/>
      </rPr>
      <t xml:space="preserve">混淆矩陣</t>
    </r>
    <r>
      <rPr>
        <sz val="11"/>
        <color rgb="FF595959"/>
        <rFont val="Microsoft JhengHei"/>
        <family val="0"/>
        <charset val="1"/>
      </rPr>
      <t xml:space="preserve">|</t>
    </r>
    <r>
      <rPr>
        <sz val="11"/>
        <color rgb="FF595959"/>
        <rFont val="Noto Sans CJK SC"/>
        <family val="2"/>
      </rPr>
      <t xml:space="preserve">實地驗證</t>
    </r>
    <r>
      <rPr>
        <sz val="11"/>
        <color rgb="FF595959"/>
        <rFont val="Microsoft JhengHei"/>
        <family val="0"/>
        <charset val="1"/>
      </rPr>
      <t xml:space="preserve">0713_0714|</t>
    </r>
    <r>
      <rPr>
        <sz val="11"/>
        <color rgb="FF595959"/>
        <rFont val="Noto Sans CJK SC"/>
        <family val="2"/>
      </rPr>
      <t xml:space="preserve">明細</t>
    </r>
    <r>
      <rPr>
        <sz val="11"/>
        <color rgb="FF595959"/>
        <rFont val="Microsoft JhengHei"/>
        <family val="0"/>
        <charset val="1"/>
      </rPr>
      <t xml:space="preserve">×4(1,598</t>
    </r>
    <r>
      <rPr>
        <sz val="11"/>
        <color rgb="FF595959"/>
        <rFont val="Noto Sans CJK SC"/>
        <family val="2"/>
      </rPr>
      <t xml:space="preserve">筆樣本外預測</t>
    </r>
    <r>
      <rPr>
        <sz val="11"/>
        <color rgb="FF595959"/>
        <rFont val="Microsoft JhengHei"/>
        <family val="0"/>
        <charset val="1"/>
      </rPr>
      <t xml:space="preserve">)|</t>
    </r>
    <r>
      <rPr>
        <sz val="11"/>
        <color rgb="FF595959"/>
        <rFont val="Noto Sans CJK SC"/>
        <family val="2"/>
      </rPr>
      <t xml:space="preserve">資料驗證</t>
    </r>
    <r>
      <rPr>
        <sz val="11"/>
        <color rgb="FF595959"/>
        <rFont val="Microsoft JhengHei"/>
        <family val="0"/>
        <charset val="1"/>
      </rPr>
      <t xml:space="preserve">|</t>
    </r>
    <r>
      <rPr>
        <sz val="11"/>
        <color rgb="FF595959"/>
        <rFont val="Noto Sans CJK SC"/>
        <family val="2"/>
      </rPr>
      <t xml:space="preserve">方法與限制</t>
    </r>
  </si>
  <si>
    <t xml:space="preserve">股票代號</t>
  </si>
  <si>
    <t xml:space="preserve">股票名稱</t>
  </si>
  <si>
    <t xml:space="preserve">特徵日</t>
  </si>
  <si>
    <t xml:space="preserve">預測</t>
  </si>
  <si>
    <t xml:space="preserve">實際</t>
  </si>
  <si>
    <r>
      <rPr>
        <b val="true"/>
        <sz val="11"/>
        <color rgb="FFFFFFFF"/>
        <rFont val="Noto Sans CJK SC"/>
        <family val="2"/>
      </rPr>
      <t xml:space="preserve">正確</t>
    </r>
    <r>
      <rPr>
        <b val="true"/>
        <sz val="11"/>
        <color rgb="FFFFFFFF"/>
        <rFont val="Microsoft JhengHei"/>
        <family val="0"/>
        <charset val="1"/>
      </rPr>
      <t xml:space="preserve">(1=</t>
    </r>
    <r>
      <rPr>
        <b val="true"/>
        <sz val="11"/>
        <color rgb="FFFFFFFF"/>
        <rFont val="Noto Sans CJK SC"/>
        <family val="2"/>
      </rPr>
      <t xml:space="preserve">對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</si>
  <si>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實際報酬</t>
  </si>
  <si>
    <r>
      <rPr>
        <b val="true"/>
        <sz val="11"/>
        <color rgb="FFFFFFFF"/>
        <rFont val="Microsoft JhengHei"/>
        <family val="0"/>
        <charset val="1"/>
      </rPr>
      <t xml:space="preserve">p</t>
    </r>
    <r>
      <rPr>
        <b val="true"/>
        <sz val="11"/>
        <color rgb="FFFFFFFF"/>
        <rFont val="Noto Sans CJK SC"/>
        <family val="2"/>
      </rPr>
      <t xml:space="preserve">下跌</t>
    </r>
  </si>
  <si>
    <r>
      <rPr>
        <b val="true"/>
        <sz val="11"/>
        <color rgb="FFFFFFFF"/>
        <rFont val="Microsoft JhengHei"/>
        <family val="0"/>
        <charset val="1"/>
      </rPr>
      <t xml:space="preserve">p</t>
    </r>
    <r>
      <rPr>
        <b val="true"/>
        <sz val="11"/>
        <color rgb="FFFFFFFF"/>
        <rFont val="Noto Sans CJK SC"/>
        <family val="2"/>
      </rPr>
      <t xml:space="preserve">持平</t>
    </r>
  </si>
  <si>
    <r>
      <rPr>
        <b val="true"/>
        <sz val="11"/>
        <color rgb="FFFFFFFF"/>
        <rFont val="Microsoft JhengHei"/>
        <family val="0"/>
        <charset val="1"/>
      </rPr>
      <t xml:space="preserve">p</t>
    </r>
    <r>
      <rPr>
        <b val="true"/>
        <sz val="11"/>
        <color rgb="FFFFFFFF"/>
        <rFont val="Noto Sans CJK SC"/>
        <family val="2"/>
      </rPr>
      <t xml:space="preserve">上漲</t>
    </r>
  </si>
  <si>
    <t xml:space="preserve">測試月</t>
  </si>
  <si>
    <t xml:space="preserve">訓練筆數</t>
  </si>
  <si>
    <t xml:space="preserve">早停輪數</t>
  </si>
  <si>
    <t xml:space="preserve">2308</t>
  </si>
  <si>
    <t xml:space="preserve">台達電</t>
  </si>
  <si>
    <t xml:space="preserve">2026-04-01</t>
  </si>
  <si>
    <t xml:space="preserve">上漲</t>
  </si>
  <si>
    <t xml:space="preserve">下跌</t>
  </si>
  <si>
    <t xml:space="preserve">2026-04</t>
  </si>
  <si>
    <t xml:space="preserve">2317</t>
  </si>
  <si>
    <t xml:space="preserve">鴻海</t>
  </si>
  <si>
    <t xml:space="preserve">2330</t>
  </si>
  <si>
    <t xml:space="preserve">台積電</t>
  </si>
  <si>
    <t xml:space="preserve">2454</t>
  </si>
  <si>
    <t xml:space="preserve">聯發科</t>
  </si>
  <si>
    <t xml:space="preserve">持平</t>
  </si>
  <si>
    <t xml:space="preserve">2603</t>
  </si>
  <si>
    <t xml:space="preserve">長榮</t>
  </si>
  <si>
    <t xml:space="preserve">2882</t>
  </si>
  <si>
    <t xml:space="preserve">國泰金</t>
  </si>
  <si>
    <t xml:space="preserve">2026-04-02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</si>
  <si>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</si>
  <si>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</si>
  <si>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</si>
  <si>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</si>
  <si>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</si>
  <si>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</si>
  <si>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</si>
  <si>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</si>
  <si>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</si>
  <si>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</si>
  <si>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</si>
  <si>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</si>
  <si>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</si>
  <si>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</si>
  <si>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</si>
  <si>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</si>
  <si>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</si>
  <si>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</si>
  <si>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2026-05-04</t>
  </si>
  <si>
    <t xml:space="preserve">2026-05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</si>
  <si>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</si>
  <si>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</si>
  <si>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</si>
  <si>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</si>
  <si>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</si>
  <si>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</si>
  <si>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</si>
  <si>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</si>
  <si>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</si>
  <si>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</si>
  <si>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</si>
  <si>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</si>
  <si>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</si>
  <si>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</si>
  <si>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</si>
  <si>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</si>
  <si>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</si>
  <si>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</si>
  <si>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</si>
  <si>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2026-06-01</t>
  </si>
  <si>
    <t xml:space="preserve">2026-06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</si>
  <si>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</si>
  <si>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</si>
  <si>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</si>
  <si>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</si>
  <si>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</si>
  <si>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</si>
  <si>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</si>
  <si>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</si>
  <si>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</si>
  <si>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</si>
  <si>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</si>
  <si>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</si>
  <si>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</si>
  <si>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</si>
  <si>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</si>
  <si>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</si>
  <si>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</si>
  <si>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</si>
  <si>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2026-06-29</t>
  </si>
  <si>
    <t xml:space="preserve">2026-06-30</t>
  </si>
  <si>
    <t xml:space="preserve">2026-07-01</t>
  </si>
  <si>
    <t xml:space="preserve">2026-07</t>
  </si>
  <si>
    <t xml:space="preserve">2026-07-02</t>
  </si>
  <si>
    <t xml:space="preserve">2026-07-03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</si>
  <si>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</si>
  <si>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</si>
  <si>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</si>
  <si>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</si>
  <si>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2026-07-13</t>
  </si>
  <si>
    <r>
      <rPr>
        <b val="true"/>
        <sz val="13"/>
        <color rgb="FF000000"/>
        <rFont val="Noto Sans CJK SC"/>
        <family val="2"/>
      </rPr>
      <t xml:space="preserve">走勢預測準確度</t>
    </r>
    <r>
      <rPr>
        <b val="true"/>
        <sz val="13"/>
        <color rgb="FF000000"/>
        <rFont val="Microsoft JhengHei"/>
        <family val="0"/>
        <charset val="1"/>
      </rPr>
      <t xml:space="preserve">(walk-forward </t>
    </r>
    <r>
      <rPr>
        <b val="true"/>
        <sz val="13"/>
        <color rgb="FF000000"/>
        <rFont val="Noto Sans CJK SC"/>
        <family val="2"/>
      </rPr>
      <t xml:space="preserve">樣本外驗證</t>
    </r>
    <r>
      <rPr>
        <b val="true"/>
        <sz val="13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</si>
  <si>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測試期間</t>
    </r>
    <r>
      <rPr>
        <sz val="11"/>
        <color rgb="FF000000"/>
        <rFont val="Microsoft JhengHei"/>
        <family val="0"/>
        <charset val="1"/>
      </rPr>
      <t xml:space="preserve">:2026-04-01 ~ 2026-07-14(</t>
    </r>
    <r>
      <rPr>
        <sz val="11"/>
        <color rgb="FF000000"/>
        <rFont val="Noto Sans CJK SC"/>
        <family val="2"/>
      </rPr>
      <t xml:space="preserve">逐月擴充視窗重訓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標籤結算日早於測試月才進訓練集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無前視洩漏</t>
    </r>
    <r>
      <rPr>
        <sz val="11"/>
        <color rgb="FF000000"/>
        <rFont val="Microsoft JhengHei"/>
        <family val="0"/>
        <charset val="1"/>
      </rPr>
      <t xml:space="preserve">)</t>
    </r>
  </si>
  <si>
    <r>
      <rPr>
        <i val="true"/>
        <sz val="11"/>
        <color rgb="FF808080"/>
        <rFont val="Noto Sans CJK SC"/>
        <family val="2"/>
      </rPr>
      <t xml:space="preserve">所有比率皆為活公式</t>
    </r>
    <r>
      <rPr>
        <i val="true"/>
        <sz val="11"/>
        <color rgb="FF808080"/>
        <rFont val="Microsoft JhengHei"/>
        <family val="0"/>
        <charset val="1"/>
      </rPr>
      <t xml:space="preserve">,</t>
    </r>
    <r>
      <rPr>
        <i val="true"/>
        <sz val="11"/>
        <color rgb="FF808080"/>
        <rFont val="Noto Sans CJK SC"/>
        <family val="2"/>
      </rPr>
      <t xml:space="preserve">直接統計「明細」工作表</t>
    </r>
    <r>
      <rPr>
        <i val="true"/>
        <sz val="11"/>
        <color rgb="FF808080"/>
        <rFont val="Microsoft JhengHei"/>
        <family val="0"/>
        <charset val="1"/>
      </rPr>
      <t xml:space="preserve">;</t>
    </r>
    <r>
      <rPr>
        <i val="true"/>
        <sz val="11"/>
        <color rgb="FF808080"/>
        <rFont val="Noto Sans CJK SC"/>
        <family val="2"/>
      </rPr>
      <t xml:space="preserve">右側附 </t>
    </r>
    <r>
      <rPr>
        <i val="true"/>
        <sz val="11"/>
        <color rgb="FF808080"/>
        <rFont val="Microsoft JhengHei"/>
        <family val="0"/>
        <charset val="1"/>
      </rPr>
      <t xml:space="preserve">Python </t>
    </r>
    <r>
      <rPr>
        <i val="true"/>
        <sz val="11"/>
        <color rgb="FF808080"/>
        <rFont val="Noto Sans CJK SC"/>
        <family val="2"/>
      </rPr>
      <t xml:space="preserve">交叉核算值。</t>
    </r>
  </si>
  <si>
    <r>
      <rPr>
        <b val="true"/>
        <sz val="11"/>
        <color rgb="FF000000"/>
        <rFont val="Noto Sans CJK SC"/>
        <family val="2"/>
      </rPr>
      <t xml:space="preserve">◆ 平衡版模型</t>
    </r>
    <r>
      <rPr>
        <b val="true"/>
        <sz val="11"/>
        <color rgb="FF000000"/>
        <rFont val="Microsoft JhengHei"/>
        <family val="0"/>
        <charset val="1"/>
      </rPr>
      <t xml:space="preserve">.1</t>
    </r>
    <r>
      <rPr>
        <b val="true"/>
        <sz val="11"/>
        <color rgb="FF000000"/>
        <rFont val="Noto Sans CJK SC"/>
        <family val="2"/>
      </rPr>
      <t xml:space="preserve">日水平</t>
    </r>
    <r>
      <rPr>
        <b val="true"/>
        <sz val="11"/>
        <color rgb="FF000000"/>
        <rFont val="Microsoft JhengHei"/>
        <family val="0"/>
        <charset val="1"/>
      </rPr>
      <t xml:space="preserve">(n=411)</t>
    </r>
  </si>
  <si>
    <r>
      <rPr>
        <b val="true"/>
        <sz val="11"/>
        <color rgb="FFFFFFFF"/>
        <rFont val="Noto Sans CJK SC"/>
        <family val="2"/>
      </rPr>
      <t xml:space="preserve">數值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活公式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</si>
  <si>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Microsoft JhengHei"/>
        <family val="0"/>
        <charset val="1"/>
      </rPr>
      <t xml:space="preserve">Python</t>
    </r>
    <r>
      <rPr>
        <b val="true"/>
        <sz val="11"/>
        <color rgb="FFFFFFFF"/>
        <rFont val="Noto Sans CJK SC"/>
        <family val="2"/>
      </rPr>
      <t xml:space="preserve">核算</t>
    </r>
  </si>
  <si>
    <r>
      <rPr>
        <b val="true"/>
        <sz val="11"/>
        <color rgb="FFFFFFFF"/>
        <rFont val="Microsoft JhengHei"/>
        <family val="0"/>
        <charset val="1"/>
      </rPr>
      <t xml:space="preserve">95%</t>
    </r>
    <r>
      <rPr>
        <b val="true"/>
        <sz val="11"/>
        <color rgb="FFFFFFFF"/>
        <rFont val="Noto Sans CJK SC"/>
        <family val="2"/>
      </rPr>
      <t xml:space="preserve">信賴區間下界</t>
    </r>
  </si>
  <si>
    <r>
      <rPr>
        <b val="true"/>
        <sz val="11"/>
        <color rgb="FFFFFFFF"/>
        <rFont val="Microsoft JhengHei"/>
        <family val="0"/>
        <charset val="1"/>
      </rPr>
      <t xml:space="preserve">95%</t>
    </r>
    <r>
      <rPr>
        <b val="true"/>
        <sz val="11"/>
        <color rgb="FFFFFFFF"/>
        <rFont val="Noto Sans CJK SC"/>
        <family val="2"/>
      </rPr>
      <t xml:space="preserve">信賴區間上界</t>
    </r>
  </si>
  <si>
    <r>
      <rPr>
        <sz val="11"/>
        <color rgb="FF000000"/>
        <rFont val="Noto Sans CJK SC"/>
        <family val="2"/>
      </rPr>
      <t xml:space="preserve">整體準確率</t>
    </r>
    <r>
      <rPr>
        <sz val="11"/>
        <color rgb="FF000000"/>
        <rFont val="Microsoft JhengHei"/>
        <family val="0"/>
        <charset val="1"/>
      </rPr>
      <t xml:space="preserve">(3</t>
    </r>
    <r>
      <rPr>
        <sz val="11"/>
        <color rgb="FF000000"/>
        <rFont val="Noto Sans CJK SC"/>
        <family val="2"/>
      </rPr>
      <t xml:space="preserve">類</t>
    </r>
    <r>
      <rPr>
        <sz val="11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</si>
  <si>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平衡準確率</t>
    </r>
    <r>
      <rPr>
        <sz val="11"/>
        <color rgb="FF000000"/>
        <rFont val="Microsoft JhengHei"/>
        <family val="0"/>
        <charset val="1"/>
      </rPr>
      <t xml:space="preserve">(3</t>
    </r>
    <r>
      <rPr>
        <sz val="11"/>
        <color rgb="FF000000"/>
        <rFont val="Noto Sans CJK SC"/>
        <family val="2"/>
      </rPr>
      <t xml:space="preserve">類</t>
    </r>
    <r>
      <rPr>
        <sz val="11"/>
        <color rgb="FF000000"/>
        <rFont val="Microsoft JhengHei"/>
        <family val="0"/>
        <charset val="1"/>
      </rPr>
      <t xml:space="preserve">recall</t>
    </r>
    <r>
      <rPr>
        <sz val="11"/>
        <color rgb="FF000000"/>
        <rFont val="Noto Sans CJK SC"/>
        <family val="2"/>
      </rPr>
      <t xml:space="preserve">平均</t>
    </r>
    <r>
      <rPr>
        <sz val="11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</si>
  <si>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基準線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Noto Sans CJK SC"/>
        <family val="2"/>
      </rPr>
      <t xml:space="preserve">永遠猜「持平」</t>
    </r>
  </si>
  <si>
    <r>
      <rPr>
        <sz val="11"/>
        <color rgb="FF000000"/>
        <rFont val="Noto Sans CJK SC"/>
        <family val="2"/>
      </rPr>
      <t xml:space="preserve">基準線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Noto Sans CJK SC"/>
        <family val="2"/>
      </rPr>
      <t xml:space="preserve">沿用前一日實際方向</t>
    </r>
    <r>
      <rPr>
        <sz val="11"/>
        <color rgb="FF000000"/>
        <rFont val="Microsoft JhengHei"/>
        <family val="0"/>
        <charset val="1"/>
      </rPr>
      <t xml:space="preserve">(n=405)</t>
    </r>
  </si>
  <si>
    <r>
      <rPr>
        <sz val="11"/>
        <color rgb="FF000000"/>
        <rFont val="Microsoft JhengHei"/>
        <family val="0"/>
        <charset val="1"/>
      </rPr>
      <t xml:space="preserve">Python</t>
    </r>
    <r>
      <rPr>
        <sz val="11"/>
        <color rgb="FF000000"/>
        <rFont val="Noto Sans CJK SC"/>
        <family val="2"/>
      </rPr>
      <t xml:space="preserve">計算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同股票前一筆標籤</t>
    </r>
    <r>
      <rPr>
        <sz val="11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</si>
  <si>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方向性出手數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預測非持平</t>
    </r>
    <r>
      <rPr>
        <sz val="11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</si>
  <si>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方向命中率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漲時猜漲</t>
    </r>
    <r>
      <rPr>
        <sz val="11"/>
        <color rgb="FF000000"/>
        <rFont val="Microsoft JhengHe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跌時猜跌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報酬符號</t>
    </r>
    <r>
      <rPr>
        <sz val="11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</si>
  <si>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「下跌」</t>
    </r>
    <r>
      <rPr>
        <sz val="11"/>
        <color rgb="FF000000"/>
        <rFont val="Microsoft JhengHei"/>
        <family val="0"/>
        <charset val="1"/>
      </rPr>
      <t xml:space="preserve">precision / recall / F1(</t>
    </r>
    <r>
      <rPr>
        <sz val="11"/>
        <color rgb="FF000000"/>
        <rFont val="Noto Sans CJK SC"/>
        <family val="2"/>
      </rPr>
      <t xml:space="preserve">支持數</t>
    </r>
    <r>
      <rPr>
        <sz val="11"/>
        <color rgb="FF000000"/>
        <rFont val="Microsoft JhengHei"/>
        <family val="0"/>
        <charset val="1"/>
      </rPr>
      <t xml:space="preserve">=155)</t>
    </r>
  </si>
  <si>
    <t xml:space="preserve">P=0.347 R=0.323 F1=0.334</t>
  </si>
  <si>
    <r>
      <rPr>
        <sz val="11"/>
        <color rgb="FF000000"/>
        <rFont val="Noto Sans CJK SC"/>
        <family val="2"/>
      </rPr>
      <t xml:space="preserve">「持平」</t>
    </r>
    <r>
      <rPr>
        <sz val="11"/>
        <color rgb="FF000000"/>
        <rFont val="Microsoft JhengHei"/>
        <family val="0"/>
        <charset val="1"/>
      </rPr>
      <t xml:space="preserve">precision / recall / F1(</t>
    </r>
    <r>
      <rPr>
        <sz val="11"/>
        <color rgb="FF000000"/>
        <rFont val="Noto Sans CJK SC"/>
        <family val="2"/>
      </rPr>
      <t xml:space="preserve">支持數</t>
    </r>
    <r>
      <rPr>
        <sz val="11"/>
        <color rgb="FF000000"/>
        <rFont val="Microsoft JhengHei"/>
        <family val="0"/>
        <charset val="1"/>
      </rPr>
      <t xml:space="preserve">=80)</t>
    </r>
  </si>
  <si>
    <t xml:space="preserve">P=0.324 R=0.300 F1=0.312</t>
  </si>
  <si>
    <r>
      <rPr>
        <sz val="11"/>
        <color rgb="FF000000"/>
        <rFont val="Noto Sans CJK SC"/>
        <family val="2"/>
      </rPr>
      <t xml:space="preserve">「上漲」</t>
    </r>
    <r>
      <rPr>
        <sz val="11"/>
        <color rgb="FF000000"/>
        <rFont val="Microsoft JhengHei"/>
        <family val="0"/>
        <charset val="1"/>
      </rPr>
      <t xml:space="preserve">precision / recall / F1(</t>
    </r>
    <r>
      <rPr>
        <sz val="11"/>
        <color rgb="FF000000"/>
        <rFont val="Noto Sans CJK SC"/>
        <family val="2"/>
      </rPr>
      <t xml:space="preserve">支持數</t>
    </r>
    <r>
      <rPr>
        <sz val="11"/>
        <color rgb="FF000000"/>
        <rFont val="Microsoft JhengHei"/>
        <family val="0"/>
        <charset val="1"/>
      </rPr>
      <t xml:space="preserve">=176)</t>
    </r>
  </si>
  <si>
    <t xml:space="preserve">P=0.404 R=0.443 F1=0.423</t>
  </si>
  <si>
    <r>
      <rPr>
        <b val="true"/>
        <sz val="11"/>
        <color rgb="FF000000"/>
        <rFont val="Noto Sans CJK SC"/>
        <family val="2"/>
      </rPr>
      <t xml:space="preserve">◆ 平衡版模型</t>
    </r>
    <r>
      <rPr>
        <b val="true"/>
        <sz val="11"/>
        <color rgb="FF000000"/>
        <rFont val="Microsoft JhengHei"/>
        <family val="0"/>
        <charset val="1"/>
      </rPr>
      <t xml:space="preserve">.5</t>
    </r>
    <r>
      <rPr>
        <b val="true"/>
        <sz val="11"/>
        <color rgb="FF000000"/>
        <rFont val="Noto Sans CJK SC"/>
        <family val="2"/>
      </rPr>
      <t xml:space="preserve">日水平</t>
    </r>
    <r>
      <rPr>
        <b val="true"/>
        <sz val="11"/>
        <color rgb="FF000000"/>
        <rFont val="Microsoft JhengHei"/>
        <family val="0"/>
        <charset val="1"/>
      </rPr>
      <t xml:space="preserve">(n=387)</t>
    </r>
  </si>
  <si>
    <r>
      <rPr>
        <sz val="11"/>
        <color rgb="FF000000"/>
        <rFont val="Noto Sans CJK SC"/>
        <family val="2"/>
      </rPr>
      <t xml:space="preserve">基準線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Noto Sans CJK SC"/>
        <family val="2"/>
      </rPr>
      <t xml:space="preserve">沿用前一日實際方向</t>
    </r>
    <r>
      <rPr>
        <sz val="11"/>
        <color rgb="FF000000"/>
        <rFont val="Microsoft JhengHei"/>
        <family val="0"/>
        <charset val="1"/>
      </rPr>
      <t xml:space="preserve">(n=381)</t>
    </r>
  </si>
  <si>
    <r>
      <rPr>
        <sz val="11"/>
        <color rgb="FF000000"/>
        <rFont val="Noto Sans CJK SC"/>
        <family val="2"/>
      </rPr>
      <t xml:space="preserve">「下跌」</t>
    </r>
    <r>
      <rPr>
        <sz val="11"/>
        <color rgb="FF000000"/>
        <rFont val="Microsoft JhengHei"/>
        <family val="0"/>
        <charset val="1"/>
      </rPr>
      <t xml:space="preserve">precision / recall / F1(</t>
    </r>
    <r>
      <rPr>
        <sz val="11"/>
        <color rgb="FF000000"/>
        <rFont val="Noto Sans CJK SC"/>
        <family val="2"/>
      </rPr>
      <t xml:space="preserve">支持數</t>
    </r>
    <r>
      <rPr>
        <sz val="11"/>
        <color rgb="FF000000"/>
        <rFont val="Microsoft JhengHei"/>
        <family val="0"/>
        <charset val="1"/>
      </rPr>
      <t xml:space="preserve">=125)</t>
    </r>
  </si>
  <si>
    <t xml:space="preserve">P=0.233 R=0.280 F1=0.255</t>
  </si>
  <si>
    <r>
      <rPr>
        <sz val="11"/>
        <color rgb="FF000000"/>
        <rFont val="Noto Sans CJK SC"/>
        <family val="2"/>
      </rPr>
      <t xml:space="preserve">「持平」</t>
    </r>
    <r>
      <rPr>
        <sz val="11"/>
        <color rgb="FF000000"/>
        <rFont val="Microsoft JhengHei"/>
        <family val="0"/>
        <charset val="1"/>
      </rPr>
      <t xml:space="preserve">precision / recall / F1(</t>
    </r>
    <r>
      <rPr>
        <sz val="11"/>
        <color rgb="FF000000"/>
        <rFont val="Noto Sans CJK SC"/>
        <family val="2"/>
      </rPr>
      <t xml:space="preserve">支持數</t>
    </r>
    <r>
      <rPr>
        <sz val="11"/>
        <color rgb="FF000000"/>
        <rFont val="Microsoft JhengHei"/>
        <family val="0"/>
        <charset val="1"/>
      </rPr>
      <t xml:space="preserve">=63)</t>
    </r>
  </si>
  <si>
    <t xml:space="preserve">P=0.255 R=0.190 F1=0.218</t>
  </si>
  <si>
    <r>
      <rPr>
        <sz val="11"/>
        <color rgb="FF000000"/>
        <rFont val="Noto Sans CJK SC"/>
        <family val="2"/>
      </rPr>
      <t xml:space="preserve">「上漲」</t>
    </r>
    <r>
      <rPr>
        <sz val="11"/>
        <color rgb="FF000000"/>
        <rFont val="Microsoft JhengHei"/>
        <family val="0"/>
        <charset val="1"/>
      </rPr>
      <t xml:space="preserve">precision / recall / F1(</t>
    </r>
    <r>
      <rPr>
        <sz val="11"/>
        <color rgb="FF000000"/>
        <rFont val="Noto Sans CJK SC"/>
        <family val="2"/>
      </rPr>
      <t xml:space="preserve">支持數</t>
    </r>
    <r>
      <rPr>
        <sz val="11"/>
        <color rgb="FF000000"/>
        <rFont val="Microsoft JhengHei"/>
        <family val="0"/>
        <charset val="1"/>
      </rPr>
      <t xml:space="preserve">=199)</t>
    </r>
  </si>
  <si>
    <t xml:space="preserve">P=0.479 R=0.457 F1=0.468</t>
  </si>
  <si>
    <r>
      <rPr>
        <b val="true"/>
        <sz val="11"/>
        <color rgb="FF000000"/>
        <rFont val="Noto Sans CJK SC"/>
        <family val="2"/>
      </rPr>
      <t xml:space="preserve">◆ 基準版模型</t>
    </r>
    <r>
      <rPr>
        <b val="true"/>
        <sz val="11"/>
        <color rgb="FF000000"/>
        <rFont val="Microsoft JhengHei"/>
        <family val="0"/>
        <charset val="1"/>
      </rPr>
      <t xml:space="preserve">.1</t>
    </r>
    <r>
      <rPr>
        <b val="true"/>
        <sz val="11"/>
        <color rgb="FF000000"/>
        <rFont val="Noto Sans CJK SC"/>
        <family val="2"/>
      </rPr>
      <t xml:space="preserve">日水平</t>
    </r>
    <r>
      <rPr>
        <b val="true"/>
        <sz val="11"/>
        <color rgb="FF000000"/>
        <rFont val="Microsoft JhengHei"/>
        <family val="0"/>
        <charset val="1"/>
      </rPr>
      <t xml:space="preserve">(n=411)</t>
    </r>
  </si>
  <si>
    <t xml:space="preserve">P=0.325 R=0.084 F1=0.133</t>
  </si>
  <si>
    <r>
      <rPr>
        <sz val="11"/>
        <color rgb="FF000000"/>
        <rFont val="Microsoft JhengHei"/>
        <family val="0"/>
        <charset val="1"/>
      </rPr>
      <t xml:space="preserve">P=</t>
    </r>
    <r>
      <rPr>
        <sz val="11"/>
        <color rgb="FF000000"/>
        <rFont val="Noto Sans CJK SC"/>
        <family val="2"/>
      </rPr>
      <t xml:space="preserve">無</t>
    </r>
    <r>
      <rPr>
        <sz val="11"/>
        <color rgb="FF000000"/>
        <rFont val="Microsoft JhengHei"/>
        <family val="0"/>
        <charset val="1"/>
      </rPr>
      <t xml:space="preserve">(0</t>
    </r>
    <r>
      <rPr>
        <sz val="11"/>
        <color rgb="FF000000"/>
        <rFont val="Noto Sans CJK SC"/>
        <family val="2"/>
      </rPr>
      <t xml:space="preserve">次預測</t>
    </r>
    <r>
      <rPr>
        <sz val="11"/>
        <color rgb="FF000000"/>
        <rFont val="Microsoft JhengHei"/>
        <family val="0"/>
        <charset val="1"/>
      </rPr>
      <t xml:space="preserve">) R=0.000</t>
    </r>
  </si>
  <si>
    <t xml:space="preserve">P=0.423 R=0.892 F1=0.574</t>
  </si>
  <si>
    <r>
      <rPr>
        <b val="true"/>
        <sz val="11"/>
        <color rgb="FF000000"/>
        <rFont val="Noto Sans CJK SC"/>
        <family val="2"/>
      </rPr>
      <t xml:space="preserve">◆ 基準版模型</t>
    </r>
    <r>
      <rPr>
        <b val="true"/>
        <sz val="11"/>
        <color rgb="FF000000"/>
        <rFont val="Microsoft JhengHei"/>
        <family val="0"/>
        <charset val="1"/>
      </rPr>
      <t xml:space="preserve">.5</t>
    </r>
    <r>
      <rPr>
        <b val="true"/>
        <sz val="11"/>
        <color rgb="FF000000"/>
        <rFont val="Noto Sans CJK SC"/>
        <family val="2"/>
      </rPr>
      <t xml:space="preserve">日水平</t>
    </r>
    <r>
      <rPr>
        <b val="true"/>
        <sz val="11"/>
        <color rgb="FF000000"/>
        <rFont val="Microsoft JhengHei"/>
        <family val="0"/>
        <charset val="1"/>
      </rPr>
      <t xml:space="preserve">(n=387)</t>
    </r>
  </si>
  <si>
    <t xml:space="preserve">P=0.514 R=1.000 F1=0.679</t>
  </si>
  <si>
    <r>
      <rPr>
        <i val="true"/>
        <sz val="11"/>
        <color rgb="FF808080"/>
        <rFont val="Noto Sans CJK SC"/>
        <family val="2"/>
      </rPr>
      <t xml:space="preserve">註</t>
    </r>
    <r>
      <rPr>
        <i val="true"/>
        <sz val="11"/>
        <color rgb="FF808080"/>
        <rFont val="Microsoft JhengHei"/>
        <family val="0"/>
        <charset val="1"/>
      </rPr>
      <t xml:space="preserve">:95% </t>
    </r>
    <r>
      <rPr>
        <i val="true"/>
        <sz val="11"/>
        <color rgb="FF808080"/>
        <rFont val="Noto Sans CJK SC"/>
        <family val="2"/>
      </rPr>
      <t xml:space="preserve">信賴區間為 </t>
    </r>
    <r>
      <rPr>
        <i val="true"/>
        <sz val="11"/>
        <color rgb="FF808080"/>
        <rFont val="Microsoft JhengHei"/>
        <family val="0"/>
        <charset val="1"/>
      </rPr>
      <t xml:space="preserve">Wilson score interval(Python </t>
    </r>
    <r>
      <rPr>
        <i val="true"/>
        <sz val="11"/>
        <color rgb="FF808080"/>
        <rFont val="Noto Sans CJK SC"/>
        <family val="2"/>
      </rPr>
      <t xml:space="preserve">計算</t>
    </r>
    <r>
      <rPr>
        <i val="true"/>
        <sz val="11"/>
        <color rgb="FF808080"/>
        <rFont val="Microsoft JhengHei"/>
        <family val="0"/>
        <charset val="1"/>
      </rPr>
      <t xml:space="preserve">,</t>
    </r>
    <r>
      <rPr>
        <i val="true"/>
        <sz val="11"/>
        <color rgb="FF808080"/>
        <rFont val="Noto Sans CJK SC"/>
        <family val="2"/>
      </rPr>
      <t xml:space="preserve">程式碼見 </t>
    </r>
    <r>
      <rPr>
        <i val="true"/>
        <sz val="11"/>
        <color rgb="FF808080"/>
        <rFont val="Microsoft JhengHei"/>
        <family val="0"/>
        <charset val="1"/>
      </rPr>
      <t xml:space="preserve">ml/local_run_20260714/run_ai_prediction.py)</t>
    </r>
    <r>
      <rPr>
        <i val="true"/>
        <sz val="11"/>
        <color rgb="FF808080"/>
        <rFont val="Noto Sans CJK SC"/>
        <family val="2"/>
      </rPr>
      <t xml:space="preserve">。</t>
    </r>
  </si>
  <si>
    <r>
      <rPr>
        <b val="true"/>
        <sz val="13"/>
        <color rgb="FF000000"/>
        <rFont val="Noto Sans CJK SC"/>
        <family val="2"/>
      </rPr>
      <t xml:space="preserve">混淆矩陣</t>
    </r>
    <r>
      <rPr>
        <b val="true"/>
        <sz val="13"/>
        <color rgb="FF000000"/>
        <rFont val="Microsoft JhengHei"/>
        <family val="0"/>
        <charset val="1"/>
      </rPr>
      <t xml:space="preserve">(</t>
    </r>
    <r>
      <rPr>
        <b val="true"/>
        <sz val="13"/>
        <color rgb="FF000000"/>
        <rFont val="Noto Sans CJK SC"/>
        <family val="2"/>
      </rPr>
      <t xml:space="preserve">列</t>
    </r>
    <r>
      <rPr>
        <b val="true"/>
        <sz val="13"/>
        <color rgb="FF000000"/>
        <rFont val="Microsoft JhengHei"/>
        <family val="0"/>
        <charset val="1"/>
      </rPr>
      <t xml:space="preserve">=</t>
    </r>
    <r>
      <rPr>
        <b val="true"/>
        <sz val="13"/>
        <color rgb="FF000000"/>
        <rFont val="Noto Sans CJK SC"/>
        <family val="2"/>
      </rPr>
      <t xml:space="preserve">實際</t>
    </r>
    <r>
      <rPr>
        <b val="true"/>
        <sz val="13"/>
        <color rgb="FF000000"/>
        <rFont val="Microsoft JhengHei"/>
        <family val="0"/>
        <charset val="1"/>
      </rPr>
      <t xml:space="preserve">,</t>
    </r>
    <r>
      <rPr>
        <b val="true"/>
        <sz val="13"/>
        <color rgb="FF000000"/>
        <rFont val="Noto Sans CJK SC"/>
        <family val="2"/>
      </rPr>
      <t xml:space="preserve">欄</t>
    </r>
    <r>
      <rPr>
        <b val="true"/>
        <sz val="13"/>
        <color rgb="FF000000"/>
        <rFont val="Microsoft JhengHei"/>
        <family val="0"/>
        <charset val="1"/>
      </rPr>
      <t xml:space="preserve">=</t>
    </r>
    <r>
      <rPr>
        <b val="true"/>
        <sz val="13"/>
        <color rgb="FF000000"/>
        <rFont val="Noto Sans CJK SC"/>
        <family val="2"/>
      </rPr>
      <t xml:space="preserve">預測</t>
    </r>
    <r>
      <rPr>
        <b val="true"/>
        <sz val="13"/>
        <color rgb="FF000000"/>
        <rFont val="Microsoft JhengHei"/>
        <family val="0"/>
        <charset val="1"/>
      </rPr>
      <t xml:space="preserve">;</t>
    </r>
    <r>
      <rPr>
        <b val="true"/>
        <sz val="13"/>
        <color rgb="FF000000"/>
        <rFont val="Noto Sans CJK SC"/>
        <family val="2"/>
      </rPr>
      <t xml:space="preserve">活公式 </t>
    </r>
    <r>
      <rPr>
        <b val="true"/>
        <sz val="13"/>
        <color rgb="FF000000"/>
        <rFont val="Microsoft JhengHei"/>
        <family val="0"/>
        <charset val="1"/>
      </rPr>
      <t xml:space="preserve">COUNTIFS </t>
    </r>
    <r>
      <rPr>
        <b val="true"/>
        <sz val="13"/>
        <color rgb="FF000000"/>
        <rFont val="Noto Sans CJK SC"/>
        <family val="2"/>
      </rPr>
      <t xml:space="preserve">統計明細表</t>
    </r>
    <r>
      <rPr>
        <b val="true"/>
        <sz val="13"/>
        <color rgb="FF000000"/>
        <rFont val="Microsoft JhengHei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</si>
  <si>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平衡版模型</t>
    </r>
    <r>
      <rPr>
        <b val="true"/>
        <sz val="11"/>
        <color rgb="FF000000"/>
        <rFont val="Microsoft JhengHei"/>
        <family val="0"/>
        <charset val="1"/>
      </rPr>
      <t xml:space="preserve">.1</t>
    </r>
    <r>
      <rPr>
        <b val="true"/>
        <sz val="11"/>
        <color rgb="FF000000"/>
        <rFont val="Noto Sans CJK SC"/>
        <family val="2"/>
      </rPr>
      <t xml:space="preserve">日水平</t>
    </r>
  </si>
  <si>
    <r>
      <rPr>
        <b val="true"/>
        <sz val="11"/>
        <color rgb="FFFFFFFF"/>
        <rFont val="Noto Sans CJK SC"/>
        <family val="2"/>
      </rPr>
      <t xml:space="preserve">實際</t>
    </r>
    <r>
      <rPr>
        <b val="true"/>
        <sz val="11"/>
        <color rgb="FFFFFFFF"/>
        <rFont val="Microsoft JhengHei"/>
        <family val="0"/>
        <charset val="1"/>
      </rPr>
      <t xml:space="preserve">\</t>
    </r>
    <r>
      <rPr>
        <b val="true"/>
        <sz val="11"/>
        <color rgb="FFFFFFFF"/>
        <rFont val="Noto Sans CJK SC"/>
        <family val="2"/>
      </rPr>
      <t xml:space="preserve">預測</t>
    </r>
  </si>
  <si>
    <t xml:space="preserve">預測下跌</t>
  </si>
  <si>
    <t xml:space="preserve">預測持平</t>
  </si>
  <si>
    <t xml:space="preserve">預測上漲</t>
  </si>
  <si>
    <t xml:space="preserve">列合計</t>
  </si>
  <si>
    <t xml:space="preserve">實際下跌</t>
  </si>
  <si>
    <t xml:space="preserve">實際持平</t>
  </si>
  <si>
    <t xml:space="preserve">實際上漲</t>
  </si>
  <si>
    <t xml:space="preserve">欄合計</t>
  </si>
  <si>
    <r>
      <rPr>
        <b val="true"/>
        <sz val="11"/>
        <color rgb="FF000000"/>
        <rFont val="Noto Sans CJK SC"/>
        <family val="2"/>
      </rPr>
      <t xml:space="preserve">平衡版模型</t>
    </r>
    <r>
      <rPr>
        <b val="true"/>
        <sz val="11"/>
        <color rgb="FF000000"/>
        <rFont val="Microsoft JhengHei"/>
        <family val="0"/>
        <charset val="1"/>
      </rPr>
      <t xml:space="preserve">.5</t>
    </r>
    <r>
      <rPr>
        <b val="true"/>
        <sz val="11"/>
        <color rgb="FF000000"/>
        <rFont val="Noto Sans CJK SC"/>
        <family val="2"/>
      </rPr>
      <t xml:space="preserve">日水平</t>
    </r>
  </si>
  <si>
    <r>
      <rPr>
        <b val="true"/>
        <sz val="11"/>
        <color rgb="FF000000"/>
        <rFont val="Noto Sans CJK SC"/>
        <family val="2"/>
      </rPr>
      <t xml:space="preserve">基準版模型</t>
    </r>
    <r>
      <rPr>
        <b val="true"/>
        <sz val="11"/>
        <color rgb="FF000000"/>
        <rFont val="Microsoft JhengHei"/>
        <family val="0"/>
        <charset val="1"/>
      </rPr>
      <t xml:space="preserve">.1</t>
    </r>
    <r>
      <rPr>
        <b val="true"/>
        <sz val="11"/>
        <color rgb="FF000000"/>
        <rFont val="Noto Sans CJK SC"/>
        <family val="2"/>
      </rPr>
      <t xml:space="preserve">日水平</t>
    </r>
  </si>
  <si>
    <r>
      <rPr>
        <b val="true"/>
        <sz val="11"/>
        <color rgb="FF000000"/>
        <rFont val="Noto Sans CJK SC"/>
        <family val="2"/>
      </rPr>
      <t xml:space="preserve">基準版模型</t>
    </r>
    <r>
      <rPr>
        <b val="true"/>
        <sz val="11"/>
        <color rgb="FF000000"/>
        <rFont val="Microsoft JhengHei"/>
        <family val="0"/>
        <charset val="1"/>
      </rPr>
      <t xml:space="preserve">.5</t>
    </r>
    <r>
      <rPr>
        <b val="true"/>
        <sz val="11"/>
        <color rgb="FF000000"/>
        <rFont val="Noto Sans CJK SC"/>
        <family val="2"/>
      </rPr>
      <t xml:space="preserve">日水平</t>
    </r>
  </si>
  <si>
    <r>
      <rPr>
        <b val="true"/>
        <sz val="13"/>
        <color rgb="FF000000"/>
        <rFont val="Noto Sans CJK SC"/>
        <family val="2"/>
      </rPr>
      <t xml:space="preserve">最新一次預測</t>
    </r>
    <r>
      <rPr>
        <b val="true"/>
        <sz val="13"/>
        <color rgb="FF000000"/>
        <rFont val="Microsoft JhengHei"/>
        <family val="0"/>
        <charset val="1"/>
      </rPr>
      <t xml:space="preserve">(</t>
    </r>
    <r>
      <rPr>
        <b val="true"/>
        <sz val="13"/>
        <color rgb="FF000000"/>
        <rFont val="Noto Sans CJK SC"/>
        <family val="2"/>
      </rPr>
      <t xml:space="preserve">特徵基準日 </t>
    </r>
    <r>
      <rPr>
        <b val="true"/>
        <sz val="13"/>
        <color rgb="FF000000"/>
        <rFont val="Microsoft JhengHei"/>
        <family val="0"/>
        <charset val="1"/>
      </rPr>
      <t xml:space="preserve">2026-07-14 </t>
    </r>
    <r>
      <rPr>
        <b val="true"/>
        <sz val="13"/>
        <color rgb="FF000000"/>
        <rFont val="Noto Sans CJK SC"/>
        <family val="2"/>
      </rPr>
      <t xml:space="preserve">收盤</t>
    </r>
    <r>
      <rPr>
        <b val="true"/>
        <sz val="13"/>
        <color rgb="FF000000"/>
        <rFont val="Microsoft JhengHei"/>
        <family val="0"/>
        <charset val="1"/>
      </rPr>
      <t xml:space="preserve">;1</t>
    </r>
    <r>
      <rPr>
        <b val="true"/>
        <sz val="13"/>
        <color rgb="FF000000"/>
        <rFont val="Noto Sans CJK SC"/>
        <family val="2"/>
      </rPr>
      <t xml:space="preserve">日</t>
    </r>
    <r>
      <rPr>
        <b val="true"/>
        <sz val="13"/>
        <color rgb="FF000000"/>
        <rFont val="Microsoft JhengHei"/>
        <family val="0"/>
        <charset val="1"/>
      </rPr>
      <t xml:space="preserve">=</t>
    </r>
    <r>
      <rPr>
        <b val="true"/>
        <sz val="13"/>
        <color rgb="FF000000"/>
        <rFont val="Noto Sans CJK SC"/>
        <family val="2"/>
      </rPr>
      <t xml:space="preserve">下一交易日 </t>
    </r>
    <r>
      <rPr>
        <b val="true"/>
        <sz val="13"/>
        <color rgb="FF000000"/>
        <rFont val="Microsoft JhengHei"/>
        <family val="0"/>
        <charset val="1"/>
      </rPr>
      <t xml:space="preserve">2026-07-15,5</t>
    </r>
    <r>
      <rPr>
        <b val="true"/>
        <sz val="13"/>
        <color rgb="FF000000"/>
        <rFont val="Noto Sans CJK SC"/>
        <family val="2"/>
      </rPr>
      <t xml:space="preserve">日</t>
    </r>
    <r>
      <rPr>
        <b val="true"/>
        <sz val="13"/>
        <color rgb="FF000000"/>
        <rFont val="Microsoft JhengHei"/>
        <family val="0"/>
        <charset val="1"/>
      </rPr>
      <t xml:space="preserve">=5</t>
    </r>
    <r>
      <rPr>
        <b val="true"/>
        <sz val="13"/>
        <color rgb="FF000000"/>
        <rFont val="Noto Sans CJK SC"/>
        <family val="2"/>
      </rPr>
      <t xml:space="preserve">個交易日後</t>
    </r>
    <r>
      <rPr>
        <b val="true"/>
        <sz val="13"/>
        <color rgb="FF000000"/>
        <rFont val="Microsoft JhengHei"/>
        <family val="0"/>
        <charset val="1"/>
      </rPr>
      <t xml:space="preserve">)</t>
    </r>
  </si>
  <si>
    <r>
      <rPr>
        <b val="true"/>
        <sz val="11"/>
        <color rgb="FF9C0006"/>
        <rFont val="Noto Sans CJK SC"/>
        <family val="2"/>
      </rPr>
      <t xml:space="preserve">重要</t>
    </r>
    <r>
      <rPr>
        <b val="true"/>
        <sz val="11"/>
        <color rgb="FF9C0006"/>
        <rFont val="Microsoft JhengHei"/>
        <family val="0"/>
        <charset val="1"/>
      </rPr>
      <t xml:space="preserve">:</t>
    </r>
    <r>
      <rPr>
        <b val="true"/>
        <sz val="11"/>
        <color rgb="FF9C0006"/>
        <rFont val="Noto Sans CJK SC"/>
        <family val="2"/>
      </rPr>
      <t xml:space="preserve">依本報告 </t>
    </r>
    <r>
      <rPr>
        <b val="true"/>
        <sz val="11"/>
        <color rgb="FF9C0006"/>
        <rFont val="Microsoft JhengHei"/>
        <family val="0"/>
        <charset val="1"/>
      </rPr>
      <t xml:space="preserve">walk-forward </t>
    </r>
    <r>
      <rPr>
        <b val="true"/>
        <sz val="11"/>
        <color rgb="FF9C0006"/>
        <rFont val="Noto Sans CJK SC"/>
        <family val="2"/>
      </rPr>
      <t xml:space="preserve">實測</t>
    </r>
    <r>
      <rPr>
        <b val="true"/>
        <sz val="11"/>
        <color rgb="FF9C0006"/>
        <rFont val="Microsoft JhengHei"/>
        <family val="0"/>
        <charset val="1"/>
      </rPr>
      <t xml:space="preserve">,</t>
    </r>
    <r>
      <rPr>
        <b val="true"/>
        <sz val="11"/>
        <color rgb="FF9C0006"/>
        <rFont val="Noto Sans CJK SC"/>
        <family val="2"/>
      </rPr>
      <t xml:space="preserve">模型準確度未優於天真基準線</t>
    </r>
    <r>
      <rPr>
        <b val="true"/>
        <sz val="11"/>
        <color rgb="FF9C0006"/>
        <rFont val="Microsoft JhengHei"/>
        <family val="0"/>
        <charset val="1"/>
      </rPr>
      <t xml:space="preserve">;</t>
    </r>
    <r>
      <rPr>
        <b val="true"/>
        <sz val="11"/>
        <color rgb="FF9C0006"/>
        <rFont val="Noto Sans CJK SC"/>
        <family val="2"/>
      </rPr>
      <t xml:space="preserve">以下預測僅為「執行一次」之輸出示範</t>
    </r>
    <r>
      <rPr>
        <b val="true"/>
        <sz val="11"/>
        <color rgb="FF9C0006"/>
        <rFont val="Microsoft JhengHei"/>
        <family val="0"/>
        <charset val="1"/>
      </rPr>
      <t xml:space="preserve">,</t>
    </r>
    <r>
      <rPr>
        <b val="true"/>
        <sz val="11"/>
        <color rgb="FF9C0006"/>
        <rFont val="Noto Sans CJK SC"/>
        <family val="2"/>
      </rPr>
      <t xml:space="preserve">不</t>
    </r>
    <r>
      <rPr>
        <b val="true"/>
        <sz val="11"/>
        <color rgb="FF9C0006"/>
        <rFont val="Microsoft JhengHei"/>
        <family val="0"/>
        <charset val="1"/>
      </rPr>
      <t xml:space="preserve">construe</t>
    </r>
    <r>
      <rPr>
        <b val="true"/>
        <sz val="11"/>
        <color rgb="FF9C0006"/>
        <rFont val="Noto Sans CJK SC"/>
        <family val="2"/>
      </rPr>
      <t xml:space="preserve">為投資建議。</t>
    </r>
  </si>
  <si>
    <t xml:space="preserve">模型設定</t>
  </si>
  <si>
    <t xml:space="preserve">預測水平</t>
  </si>
  <si>
    <t xml:space="preserve">預測方向</t>
  </si>
  <si>
    <t xml:space="preserve">死區門檻</t>
  </si>
  <si>
    <t xml:space="preserve">說明</t>
  </si>
  <si>
    <t xml:space="preserve">平衡版</t>
  </si>
  <si>
    <r>
      <rPr>
        <sz val="11"/>
        <color rgb="FF000000"/>
        <rFont val="Microsoft JhengHei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日</t>
    </r>
  </si>
  <si>
    <t xml:space="preserve">±0.5%</t>
  </si>
  <si>
    <r>
      <rPr>
        <sz val="11"/>
        <color rgb="FF000000"/>
        <rFont val="Noto Sans CJK SC"/>
        <family val="2"/>
      </rPr>
      <t xml:space="preserve">訓練樣本 </t>
    </r>
    <r>
      <rPr>
        <sz val="11"/>
        <color rgb="FF000000"/>
        <rFont val="Microsoft JhengHei"/>
        <family val="0"/>
        <charset val="1"/>
      </rPr>
      <t xml:space="preserve">1274 </t>
    </r>
    <r>
      <rPr>
        <sz val="11"/>
        <color rgb="FF000000"/>
        <rFont val="Noto Sans CJK SC"/>
        <family val="2"/>
      </rPr>
      <t xml:space="preserve">筆</t>
    </r>
    <r>
      <rPr>
        <sz val="11"/>
        <color rgb="FF000000"/>
        <rFont val="Microsoft JhengHei"/>
        <family val="0"/>
        <charset val="1"/>
      </rPr>
      <t xml:space="preserve">(2025-06-02 ~ 2026-07-13 </t>
    </r>
    <r>
      <rPr>
        <sz val="11"/>
        <color rgb="FF000000"/>
        <rFont val="Noto Sans CJK SC"/>
        <family val="2"/>
      </rPr>
      <t xml:space="preserve">特徵日</t>
    </r>
    <r>
      <rPr>
        <sz val="11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</si>
  <si>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Microsoft JhengHei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日</t>
    </r>
  </si>
  <si>
    <t xml:space="preserve">±1.2%</t>
  </si>
  <si>
    <r>
      <rPr>
        <sz val="11"/>
        <color rgb="FF000000"/>
        <rFont val="Noto Sans CJK SC"/>
        <family val="2"/>
      </rPr>
      <t xml:space="preserve">訓練樣本 </t>
    </r>
    <r>
      <rPr>
        <sz val="11"/>
        <color rgb="FF000000"/>
        <rFont val="Microsoft JhengHei"/>
        <family val="0"/>
        <charset val="1"/>
      </rPr>
      <t xml:space="preserve">1250 </t>
    </r>
    <r>
      <rPr>
        <sz val="11"/>
        <color rgb="FF000000"/>
        <rFont val="Noto Sans CJK SC"/>
        <family val="2"/>
      </rPr>
      <t xml:space="preserve">筆</t>
    </r>
    <r>
      <rPr>
        <sz val="11"/>
        <color rgb="FF000000"/>
        <rFont val="Microsoft JhengHei"/>
        <family val="0"/>
        <charset val="1"/>
      </rPr>
      <t xml:space="preserve">(2025-06-02 ~ 2026-07-13 </t>
    </r>
    <r>
      <rPr>
        <sz val="11"/>
        <color rgb="FF000000"/>
        <rFont val="Noto Sans CJK SC"/>
        <family val="2"/>
      </rPr>
      <t xml:space="preserve">特徵日</t>
    </r>
    <r>
      <rPr>
        <sz val="11"/>
        <color rgb="FF000000"/>
        <rFont val="Microsoft JhengHei"/>
        <family val="0"/>
        <charset val="1"/>
      </rPr>
      <t xml:space="preserve">)</t>
    </r>
  </si>
  <si>
    <t xml:space="preserve">基準版</t>
  </si>
  <si>
    <r>
      <rPr>
        <i val="true"/>
        <sz val="11"/>
        <color rgb="FF808080"/>
        <rFont val="Noto Sans CJK SC"/>
        <family val="2"/>
      </rPr>
      <t xml:space="preserve">最高類別機率僅約 </t>
    </r>
    <r>
      <rPr>
        <i val="true"/>
        <sz val="11"/>
        <color rgb="FF808080"/>
        <rFont val="Microsoft JhengHei"/>
        <family val="0"/>
        <charset val="1"/>
      </rPr>
      <t xml:space="preserve">0.32~0.48,</t>
    </r>
    <r>
      <rPr>
        <i val="true"/>
        <sz val="11"/>
        <color rgb="FF808080"/>
        <rFont val="Noto Sans CJK SC"/>
        <family val="2"/>
      </rPr>
      <t xml:space="preserve">接近隨機</t>
    </r>
    <r>
      <rPr>
        <i val="true"/>
        <sz val="11"/>
        <color rgb="FF808080"/>
        <rFont val="Microsoft JhengHei"/>
        <family val="0"/>
        <charset val="1"/>
      </rPr>
      <t xml:space="preserve">(3</t>
    </r>
    <r>
      <rPr>
        <i val="true"/>
        <sz val="11"/>
        <color rgb="FF808080"/>
        <rFont val="Noto Sans CJK SC"/>
        <family val="2"/>
      </rPr>
      <t xml:space="preserve">類先驗約 </t>
    </r>
    <r>
      <rPr>
        <i val="true"/>
        <sz val="11"/>
        <color rgb="FF808080"/>
        <rFont val="Microsoft JhengHei"/>
        <family val="0"/>
        <charset val="1"/>
      </rPr>
      <t xml:space="preserve">0.33),</t>
    </r>
    <r>
      <rPr>
        <i val="true"/>
        <sz val="11"/>
        <color rgb="FF808080"/>
        <rFont val="Noto Sans CJK SC"/>
        <family val="2"/>
      </rPr>
      <t xml:space="preserve">機率本身即顯示訊號薄弱。</t>
    </r>
  </si>
  <si>
    <r>
      <rPr>
        <b val="true"/>
        <sz val="13"/>
        <color rgb="FF000000"/>
        <rFont val="Noto Sans CJK SC"/>
        <family val="2"/>
      </rPr>
      <t xml:space="preserve">實地</t>
    </r>
    <r>
      <rPr>
        <b val="true"/>
        <sz val="13"/>
        <color rgb="FF000000"/>
        <rFont val="Microsoft JhengHei"/>
        <family val="0"/>
        <charset val="1"/>
      </rPr>
      <t xml:space="preserve">(live)</t>
    </r>
    <r>
      <rPr>
        <b val="true"/>
        <sz val="13"/>
        <color rgb="FF000000"/>
        <rFont val="Noto Sans CJK SC"/>
        <family val="2"/>
      </rPr>
      <t xml:space="preserve">驗證</t>
    </r>
    <r>
      <rPr>
        <b val="true"/>
        <sz val="13"/>
        <color rgb="FF000000"/>
        <rFont val="Microsoft JhengHei"/>
        <family val="0"/>
        <charset val="1"/>
      </rPr>
      <t xml:space="preserve">:7</t>
    </r>
    <r>
      <rPr>
        <b val="true"/>
        <sz val="13"/>
        <color rgb="FF000000"/>
        <rFont val="Noto Sans CJK SC"/>
        <family val="2"/>
      </rPr>
      <t xml:space="preserve">月折疊模型</t>
    </r>
    <r>
      <rPr>
        <b val="true"/>
        <sz val="13"/>
        <color rgb="FF000000"/>
        <rFont val="Microsoft JhengHei"/>
        <family val="0"/>
        <charset val="1"/>
      </rPr>
      <t xml:space="preserve">(</t>
    </r>
    <r>
      <rPr>
        <b val="true"/>
        <sz val="13"/>
        <color rgb="FF000000"/>
        <rFont val="Noto Sans CJK SC"/>
        <family val="2"/>
      </rPr>
      <t xml:space="preserve">僅用 ≤</t>
    </r>
    <r>
      <rPr>
        <b val="true"/>
        <sz val="13"/>
        <color rgb="FF000000"/>
        <rFont val="Microsoft JhengHei"/>
        <family val="0"/>
        <charset val="1"/>
      </rPr>
      <t xml:space="preserve">2026-06-30 </t>
    </r>
    <r>
      <rPr>
        <b val="true"/>
        <sz val="13"/>
        <color rgb="FF000000"/>
        <rFont val="Noto Sans CJK SC"/>
        <family val="2"/>
      </rPr>
      <t xml:space="preserve">標籤訓練</t>
    </r>
    <r>
      <rPr>
        <b val="true"/>
        <sz val="13"/>
        <color rgb="FF000000"/>
        <rFont val="Microsoft JhengHei"/>
        <family val="0"/>
        <charset val="1"/>
      </rPr>
      <t xml:space="preserve">)</t>
    </r>
    <r>
      <rPr>
        <b val="true"/>
        <sz val="13"/>
        <color rgb="FF000000"/>
        <rFont val="Noto Sans CJK SC"/>
        <family val="2"/>
      </rPr>
      <t xml:space="preserve">對 </t>
    </r>
    <r>
      <rPr>
        <b val="true"/>
        <sz val="13"/>
        <color rgb="FF000000"/>
        <rFont val="Microsoft JhengHei"/>
        <family val="0"/>
        <charset val="1"/>
      </rPr>
      <t xml:space="preserve">7/13</t>
    </r>
    <r>
      <rPr>
        <b val="true"/>
        <sz val="13"/>
        <color rgb="FF000000"/>
        <rFont val="Noto Sans CJK SC"/>
        <family val="2"/>
      </rPr>
      <t xml:space="preserve">、</t>
    </r>
    <r>
      <rPr>
        <b val="true"/>
        <sz val="13"/>
        <color rgb="FF000000"/>
        <rFont val="Microsoft JhengHei"/>
        <family val="0"/>
        <charset val="1"/>
      </rPr>
      <t xml:space="preserve">7/14 </t>
    </r>
    <r>
      <rPr>
        <b val="true"/>
        <sz val="13"/>
        <color rgb="FF000000"/>
        <rFont val="Noto Sans CJK SC"/>
        <family val="2"/>
      </rPr>
      <t xml:space="preserve">的預測 </t>
    </r>
    <r>
      <rPr>
        <b val="true"/>
        <sz val="13"/>
        <color rgb="FF000000"/>
        <rFont val="Microsoft JhengHei"/>
        <family val="0"/>
        <charset val="1"/>
      </rPr>
      <t xml:space="preserve">vs TWSE </t>
    </r>
    <r>
      <rPr>
        <b val="true"/>
        <sz val="13"/>
        <color rgb="FF000000"/>
        <rFont val="Noto Sans CJK SC"/>
        <family val="2"/>
      </rPr>
      <t xml:space="preserve">實際收盤</t>
    </r>
  </si>
  <si>
    <r>
      <rPr>
        <i val="true"/>
        <sz val="11"/>
        <color rgb="FF808080"/>
        <rFont val="Noto Sans CJK SC"/>
        <family val="2"/>
      </rPr>
      <t xml:space="preserve">預測產生於結果實現之前</t>
    </r>
    <r>
      <rPr>
        <i val="true"/>
        <sz val="11"/>
        <color rgb="FF808080"/>
        <rFont val="Microsoft JhengHei"/>
        <family val="0"/>
        <charset val="1"/>
      </rPr>
      <t xml:space="preserve">(walk-forward </t>
    </r>
    <r>
      <rPr>
        <i val="true"/>
        <sz val="11"/>
        <color rgb="FF808080"/>
        <rFont val="Noto Sans CJK SC"/>
        <family val="2"/>
      </rPr>
      <t xml:space="preserve">協議</t>
    </r>
    <r>
      <rPr>
        <i val="true"/>
        <sz val="11"/>
        <color rgb="FF808080"/>
        <rFont val="Microsoft JhengHei"/>
        <family val="0"/>
        <charset val="1"/>
      </rPr>
      <t xml:space="preserve">),7/13</t>
    </r>
    <r>
      <rPr>
        <i val="true"/>
        <sz val="11"/>
        <color rgb="FF808080"/>
        <rFont val="Noto Sans CJK SC"/>
        <family val="2"/>
      </rPr>
      <t xml:space="preserve">、</t>
    </r>
    <r>
      <rPr>
        <i val="true"/>
        <sz val="11"/>
        <color rgb="FF808080"/>
        <rFont val="Microsoft JhengHei"/>
        <family val="0"/>
        <charset val="1"/>
      </rPr>
      <t xml:space="preserve">7/14 </t>
    </r>
    <r>
      <rPr>
        <i val="true"/>
        <sz val="11"/>
        <color rgb="FF808080"/>
        <rFont val="Noto Sans CJK SC"/>
        <family val="2"/>
      </rPr>
      <t xml:space="preserve">實際數據於 </t>
    </r>
    <r>
      <rPr>
        <i val="true"/>
        <sz val="11"/>
        <color rgb="FF808080"/>
        <rFont val="Microsoft JhengHei"/>
        <family val="0"/>
        <charset val="1"/>
      </rPr>
      <t xml:space="preserve">2026-07-14 21:30 CST </t>
    </r>
    <r>
      <rPr>
        <i val="true"/>
        <sz val="11"/>
        <color rgb="FF808080"/>
        <rFont val="Noto Sans CJK SC"/>
        <family val="2"/>
      </rPr>
      <t xml:space="preserve">自 </t>
    </r>
    <r>
      <rPr>
        <i val="true"/>
        <sz val="11"/>
        <color rgb="FF808080"/>
        <rFont val="Microsoft JhengHei"/>
        <family val="0"/>
        <charset val="1"/>
      </rPr>
      <t xml:space="preserve">TWSE </t>
    </r>
    <r>
      <rPr>
        <i val="true"/>
        <sz val="11"/>
        <color rgb="FF808080"/>
        <rFont val="Noto Sans CJK SC"/>
        <family val="2"/>
      </rPr>
      <t xml:space="preserve">抓取。</t>
    </r>
  </si>
  <si>
    <t xml:space="preserve">股票</t>
  </si>
  <si>
    <t xml:space="preserve">目標日</t>
  </si>
  <si>
    <t xml:space="preserve">正確</t>
  </si>
  <si>
    <r>
      <rPr>
        <sz val="11"/>
        <color rgb="FF000000"/>
        <rFont val="Microsoft JhengHei"/>
        <family val="0"/>
        <charset val="1"/>
      </rPr>
      <t xml:space="preserve">2308 </t>
    </r>
    <r>
      <rPr>
        <sz val="11"/>
        <color rgb="FF000000"/>
        <rFont val="Noto Sans CJK SC"/>
        <family val="2"/>
      </rPr>
      <t xml:space="preserve">台達電</t>
    </r>
  </si>
  <si>
    <t xml:space="preserve">✗</t>
  </si>
  <si>
    <r>
      <rPr>
        <sz val="11"/>
        <color rgb="FF000000"/>
        <rFont val="Microsoft JhengHei"/>
        <family val="0"/>
        <charset val="1"/>
      </rPr>
      <t xml:space="preserve">2317 </t>
    </r>
    <r>
      <rPr>
        <sz val="11"/>
        <color rgb="FF000000"/>
        <rFont val="Noto Sans CJK SC"/>
        <family val="2"/>
      </rPr>
      <t xml:space="preserve">鴻海</t>
    </r>
  </si>
  <si>
    <t xml:space="preserve">✓</t>
  </si>
  <si>
    <r>
      <rPr>
        <sz val="11"/>
        <color rgb="FF000000"/>
        <rFont val="Microsoft JhengHei"/>
        <family val="0"/>
        <charset val="1"/>
      </rPr>
      <t xml:space="preserve">2330 </t>
    </r>
    <r>
      <rPr>
        <sz val="11"/>
        <color rgb="FF000000"/>
        <rFont val="Noto Sans CJK SC"/>
        <family val="2"/>
      </rPr>
      <t xml:space="preserve">台積電</t>
    </r>
  </si>
  <si>
    <r>
      <rPr>
        <sz val="11"/>
        <color rgb="FF000000"/>
        <rFont val="Microsoft JhengHei"/>
        <family val="0"/>
        <charset val="1"/>
      </rPr>
      <t xml:space="preserve">2454 </t>
    </r>
    <r>
      <rPr>
        <sz val="11"/>
        <color rgb="FF000000"/>
        <rFont val="Noto Sans CJK SC"/>
        <family val="2"/>
      </rPr>
      <t xml:space="preserve">聯發科</t>
    </r>
  </si>
  <si>
    <r>
      <rPr>
        <sz val="11"/>
        <color rgb="FF000000"/>
        <rFont val="Microsoft JhengHei"/>
        <family val="0"/>
        <charset val="1"/>
      </rPr>
      <t xml:space="preserve">2603 </t>
    </r>
    <r>
      <rPr>
        <sz val="11"/>
        <color rgb="FF000000"/>
        <rFont val="Noto Sans CJK SC"/>
        <family val="2"/>
      </rPr>
      <t xml:space="preserve">長榮</t>
    </r>
  </si>
  <si>
    <r>
      <rPr>
        <sz val="11"/>
        <color rgb="FF000000"/>
        <rFont val="Microsoft JhengHei"/>
        <family val="0"/>
        <charset val="1"/>
      </rPr>
      <t xml:space="preserve">2882 </t>
    </r>
    <r>
      <rPr>
        <sz val="11"/>
        <color rgb="FF000000"/>
        <rFont val="Noto Sans CJK SC"/>
        <family val="2"/>
      </rPr>
      <t xml:space="preserve">國泰金</t>
    </r>
  </si>
  <si>
    <t xml:space="preserve">2026-07-14</t>
  </si>
  <si>
    <r>
      <rPr>
        <sz val="11"/>
        <color rgb="FF000000"/>
        <rFont val="Noto Sans CJK SC"/>
        <family val="2"/>
      </rPr>
      <t xml:space="preserve">平衡版 </t>
    </r>
    <r>
      <rPr>
        <sz val="11"/>
        <color rgb="FF000000"/>
        <rFont val="Microsoft JhengHei"/>
        <family val="0"/>
        <charset val="1"/>
      </rPr>
      <t xml:space="preserve">12 </t>
    </r>
    <r>
      <rPr>
        <sz val="11"/>
        <color rgb="FF000000"/>
        <rFont val="Noto Sans CJK SC"/>
        <family val="2"/>
      </rPr>
      <t xml:space="preserve">次中 </t>
    </r>
    <r>
      <rPr>
        <sz val="11"/>
        <color rgb="FF000000"/>
        <rFont val="Microsoft JhengHei"/>
        <family val="0"/>
        <charset val="1"/>
      </rPr>
      <t xml:space="preserve">5 </t>
    </r>
    <r>
      <rPr>
        <sz val="11"/>
        <color rgb="FF000000"/>
        <rFont val="Noto Sans CJK SC"/>
        <family val="2"/>
      </rPr>
      <t xml:space="preserve">次正確</t>
    </r>
    <r>
      <rPr>
        <sz val="11"/>
        <color rgb="FF000000"/>
        <rFont val="Microsoft JhengHei"/>
        <family val="0"/>
        <charset val="1"/>
      </rPr>
      <t xml:space="preserve">(41.7%);</t>
    </r>
    <r>
      <rPr>
        <sz val="11"/>
        <color rgb="FF000000"/>
        <rFont val="Noto Sans CJK SC"/>
        <family val="2"/>
      </rPr>
      <t xml:space="preserve">基準版 </t>
    </r>
    <r>
      <rPr>
        <sz val="11"/>
        <color rgb="FF000000"/>
        <rFont val="Microsoft JhengHei"/>
        <family val="0"/>
        <charset val="1"/>
      </rPr>
      <t xml:space="preserve">12 </t>
    </r>
    <r>
      <rPr>
        <sz val="11"/>
        <color rgb="FF000000"/>
        <rFont val="Noto Sans CJK SC"/>
        <family val="2"/>
      </rPr>
      <t xml:space="preserve">次中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次正確</t>
    </r>
    <r>
      <rPr>
        <sz val="11"/>
        <color rgb="FF000000"/>
        <rFont val="Microsoft JhengHei"/>
        <family val="0"/>
        <charset val="1"/>
      </rPr>
      <t xml:space="preserve">(16.7%)</t>
    </r>
    <r>
      <rPr>
        <sz val="11"/>
        <color rgb="FF000000"/>
        <rFont val="Noto Sans CJK SC"/>
        <family val="2"/>
      </rPr>
      <t xml:space="preserve">。樣本極小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僅作示意</t>
    </r>
    <r>
      <rPr>
        <sz val="11"/>
        <color rgb="FF000000"/>
        <rFont val="Microsoft JhengHei"/>
        <family val="0"/>
        <charset val="1"/>
      </rPr>
      <t xml:space="preserve">;</t>
    </r>
    <r>
      <rPr>
        <sz val="11"/>
        <color rgb="FF000000"/>
        <rFont val="Noto Sans CJK SC"/>
        <family val="2"/>
      </rPr>
      <t xml:space="preserve">整體結論請以 </t>
    </r>
    <r>
      <rPr>
        <sz val="11"/>
        <color rgb="FF000000"/>
        <rFont val="Microsoft JhengHei"/>
        <family val="0"/>
        <charset val="1"/>
      </rPr>
      <t xml:space="preserve">411 </t>
    </r>
    <r>
      <rPr>
        <sz val="11"/>
        <color rgb="FF000000"/>
        <rFont val="Noto Sans CJK SC"/>
        <family val="2"/>
      </rPr>
      <t xml:space="preserve">筆 </t>
    </r>
    <r>
      <rPr>
        <sz val="11"/>
        <color rgb="FF000000"/>
        <rFont val="Microsoft JhengHei"/>
        <family val="0"/>
        <charset val="1"/>
      </rPr>
      <t xml:space="preserve">walk-forward </t>
    </r>
    <r>
      <rPr>
        <sz val="11"/>
        <color rgb="FF000000"/>
        <rFont val="Noto Sans CJK SC"/>
        <family val="2"/>
      </rPr>
      <t xml:space="preserve">為準。</t>
    </r>
  </si>
  <si>
    <t xml:space="preserve">資料來源與真實性驗證</t>
  </si>
  <si>
    <r>
      <rPr>
        <b val="true"/>
        <sz val="11"/>
        <color rgb="FF000000"/>
        <rFont val="Microsoft JhengHei"/>
        <family val="0"/>
        <charset val="1"/>
      </rPr>
      <t xml:space="preserve">1) </t>
    </r>
    <r>
      <rPr>
        <b val="true"/>
        <sz val="11"/>
        <color rgb="FF000000"/>
        <rFont val="Noto Sans CJK SC"/>
        <family val="2"/>
      </rPr>
      <t xml:space="preserve">資料涵蓋範圍</t>
    </r>
    <r>
      <rPr>
        <b val="true"/>
        <sz val="11"/>
        <color rgb="FF000000"/>
        <rFont val="Microsoft JhengHei"/>
        <family val="0"/>
        <charset val="1"/>
      </rPr>
      <t xml:space="preserve">(TWSE </t>
    </r>
    <r>
      <rPr>
        <b val="true"/>
        <sz val="11"/>
        <color rgb="FF000000"/>
        <rFont val="Noto Sans CJK SC"/>
        <family val="2"/>
      </rPr>
      <t xml:space="preserve">交易所官方 </t>
    </r>
    <r>
      <rPr>
        <b val="true"/>
        <sz val="11"/>
        <color rgb="FF000000"/>
        <rFont val="Microsoft JhengHei"/>
        <family val="0"/>
        <charset val="1"/>
      </rPr>
      <t xml:space="preserve">STOCK_DAY </t>
    </r>
    <r>
      <rPr>
        <b val="true"/>
        <sz val="11"/>
        <color rgb="FF000000"/>
        <rFont val="Noto Sans CJK SC"/>
        <family val="2"/>
      </rPr>
      <t xml:space="preserve">日線</t>
    </r>
    <r>
      <rPr>
        <b val="true"/>
        <sz val="11"/>
        <color rgb="FF000000"/>
        <rFont val="Microsoft JhengHei"/>
        <family val="0"/>
        <charset val="1"/>
      </rPr>
      <t xml:space="preserve">)</t>
    </r>
  </si>
  <si>
    <t xml:space="preserve">筆數</t>
  </si>
  <si>
    <t xml:space="preserve">起日</t>
  </si>
  <si>
    <t xml:space="preserve">迄日</t>
  </si>
  <si>
    <t xml:space="preserve">最後收盤</t>
  </si>
  <si>
    <t xml:space="preserve">來源</t>
  </si>
  <si>
    <r>
      <rPr>
        <b val="true"/>
        <sz val="11"/>
        <color rgb="FFFFFFFF"/>
        <rFont val="Noto Sans CJK SC"/>
        <family val="2"/>
      </rPr>
      <t xml:space="preserve">抓取時間</t>
    </r>
    <r>
      <rPr>
        <b val="true"/>
        <sz val="11"/>
        <color rgb="FFFFFFFF"/>
        <rFont val="Microsoft JhengHei"/>
        <family val="0"/>
        <charset val="1"/>
      </rPr>
      <t xml:space="preserve">(CST)</t>
    </r>
  </si>
  <si>
    <t xml:space="preserve">2025-06-02</t>
  </si>
  <si>
    <t xml:space="preserve">www.twse.com.tw/exchangeReport/STOCK_DAY</t>
  </si>
  <si>
    <r>
      <rPr>
        <sz val="11"/>
        <color rgb="FF000000"/>
        <rFont val="Microsoft JhengHei"/>
        <family val="0"/>
        <charset val="1"/>
      </rPr>
      <t xml:space="preserve">2026-07-10 </t>
    </r>
    <r>
      <rPr>
        <sz val="11"/>
        <color rgb="FF000000"/>
        <rFont val="Noto Sans CJK SC"/>
        <family val="2"/>
      </rPr>
      <t xml:space="preserve">及 </t>
    </r>
    <r>
      <rPr>
        <sz val="11"/>
        <color rgb="FF000000"/>
        <rFont val="Microsoft JhengHei"/>
        <family val="0"/>
        <charset val="1"/>
      </rPr>
      <t xml:space="preserve">2026-07-14 21:30 </t>
    </r>
    <r>
      <rPr>
        <sz val="11"/>
        <color rgb="FF000000"/>
        <rFont val="Noto Sans CJK SC"/>
        <family val="2"/>
      </rPr>
      <t xml:space="preserve">補抓</t>
    </r>
  </si>
  <si>
    <r>
      <rPr>
        <b val="true"/>
        <sz val="11"/>
        <color rgb="FF000000"/>
        <rFont val="Microsoft JhengHei"/>
        <family val="0"/>
        <charset val="1"/>
      </rPr>
      <t xml:space="preserve">2) </t>
    </r>
    <r>
      <rPr>
        <b val="true"/>
        <sz val="11"/>
        <color rgb="FF000000"/>
        <rFont val="Noto Sans CJK SC"/>
        <family val="2"/>
      </rPr>
      <t xml:space="preserve">三方交叉驗證</t>
    </r>
    <r>
      <rPr>
        <b val="true"/>
        <sz val="11"/>
        <color rgb="FF000000"/>
        <rFont val="Microsoft JhengHei"/>
        <family val="0"/>
        <charset val="1"/>
      </rPr>
      <t xml:space="preserve">:2026-07-09 </t>
    </r>
    <r>
      <rPr>
        <b val="true"/>
        <sz val="11"/>
        <color rgb="FF000000"/>
        <rFont val="Noto Sans CJK SC"/>
        <family val="2"/>
      </rPr>
      <t xml:space="preserve">收盤</t>
    </r>
    <r>
      <rPr>
        <b val="true"/>
        <sz val="11"/>
        <color rgb="FF000000"/>
        <rFont val="Microsoft JhengHei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同日三個獨立來源</t>
    </r>
    <r>
      <rPr>
        <b val="true"/>
        <sz val="11"/>
        <color rgb="FF000000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</si>
  <si>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Microsoft JhengHei"/>
        <family val="0"/>
        <charset val="1"/>
      </rPr>
      <t xml:space="preserve">TWSE</t>
    </r>
    <r>
      <rPr>
        <b val="true"/>
        <sz val="11"/>
        <color rgb="FFFFFFFF"/>
        <rFont val="Noto Sans CJK SC"/>
        <family val="2"/>
      </rPr>
      <t xml:space="preserve">日線 </t>
    </r>
    <r>
      <rPr>
        <b val="true"/>
        <sz val="11"/>
        <color rgb="FFFFFFFF"/>
        <rFont val="Microsoft JhengHei"/>
        <family val="0"/>
        <charset val="1"/>
      </rPr>
      <t xml:space="preserve">STOCK_DAY</t>
    </r>
  </si>
  <si>
    <r>
      <rPr>
        <b val="true"/>
        <sz val="11"/>
        <color rgb="FFFFFFFF"/>
        <rFont val="Microsoft JhengHei"/>
        <family val="0"/>
        <charset val="1"/>
      </rPr>
      <t xml:space="preserve">TWSE</t>
    </r>
    <r>
      <rPr>
        <b val="true"/>
        <sz val="11"/>
        <color rgb="FFFFFFFF"/>
        <rFont val="Noto Sans CJK SC"/>
        <family val="2"/>
      </rPr>
      <t xml:space="preserve">即時 </t>
    </r>
    <r>
      <rPr>
        <b val="true"/>
        <sz val="11"/>
        <color rgb="FFFFFFFF"/>
        <rFont val="Microsoft JhengHei"/>
        <family val="0"/>
        <charset val="1"/>
      </rPr>
      <t xml:space="preserve">mis.twse</t>
    </r>
  </si>
  <si>
    <r>
      <rPr>
        <b val="true"/>
        <sz val="11"/>
        <color rgb="FFFFFFFF"/>
        <rFont val="Microsoft JhengHei"/>
        <family val="0"/>
        <charset val="1"/>
      </rPr>
      <t xml:space="preserve">Yahoo</t>
    </r>
    <r>
      <rPr>
        <b val="true"/>
        <sz val="11"/>
        <color rgb="FFFFFFFF"/>
        <rFont val="Noto Sans CJK SC"/>
        <family val="2"/>
      </rPr>
      <t xml:space="preserve">股市網頁</t>
    </r>
  </si>
  <si>
    <t xml:space="preserve">三者一致</t>
  </si>
  <si>
    <r>
      <rPr>
        <b val="true"/>
        <sz val="11"/>
        <color rgb="FFFFFFFF"/>
        <rFont val="Noto Sans CJK SC"/>
        <family val="2"/>
      </rPr>
      <t xml:space="preserve">查核時間</t>
    </r>
    <r>
      <rPr>
        <b val="true"/>
        <sz val="11"/>
        <color rgb="FFFFFFFF"/>
        <rFont val="Microsoft JhengHei"/>
        <family val="0"/>
        <charset val="1"/>
      </rPr>
      <t xml:space="preserve">(CST)</t>
    </r>
  </si>
  <si>
    <t xml:space="preserve">2026-07-10 20:05-20:07</t>
  </si>
  <si>
    <t xml:space="preserve">未逐檔查核</t>
  </si>
  <si>
    <t xml:space="preserve">2026-07-10 20:05</t>
  </si>
  <si>
    <t xml:space="preserve">2026-07-10 20:05-20:09</t>
  </si>
  <si>
    <t xml:space="preserve">2026-07-10 20:05-20:08</t>
  </si>
  <si>
    <r>
      <rPr>
        <b val="true"/>
        <sz val="11"/>
        <color rgb="FF000000"/>
        <rFont val="Microsoft JhengHei"/>
        <family val="0"/>
        <charset val="1"/>
      </rPr>
      <t xml:space="preserve">3) </t>
    </r>
    <r>
      <rPr>
        <b val="true"/>
        <sz val="11"/>
        <color rgb="FF000000"/>
        <rFont val="Noto Sans CJK SC"/>
        <family val="2"/>
      </rPr>
      <t xml:space="preserve">誠實揭露</t>
    </r>
    <r>
      <rPr>
        <b val="true"/>
        <sz val="11"/>
        <color rgb="FF000000"/>
        <rFont val="Microsoft JhengHei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抓不到</t>
    </r>
    <r>
      <rPr>
        <b val="true"/>
        <sz val="11"/>
        <color rgb="FF000000"/>
        <rFont val="Microsoft JhengHei"/>
        <family val="0"/>
        <charset val="1"/>
      </rPr>
      <t xml:space="preserve">/</t>
    </r>
    <r>
      <rPr>
        <b val="true"/>
        <sz val="11"/>
        <color rgb="FF000000"/>
        <rFont val="Noto Sans CJK SC"/>
        <family val="2"/>
      </rPr>
      <t xml:space="preserve">缺漏的數據</t>
    </r>
    <r>
      <rPr>
        <b val="true"/>
        <sz val="11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</si>
  <si>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Microsoft JhengHei"/>
        <family val="0"/>
        <charset val="1"/>
      </rPr>
      <t xml:space="preserve">‧ Yahoo Finance API(query1/query2.finance.yahoo.com)</t>
    </r>
    <r>
      <rPr>
        <sz val="11"/>
        <color rgb="FF000000"/>
        <rFont val="Noto Sans CJK SC"/>
        <family val="2"/>
      </rPr>
      <t xml:space="preserve">在本執行環境被網路政策封鎖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無法程式化抓取歷史 </t>
    </r>
    <r>
      <rPr>
        <sz val="11"/>
        <color rgb="FF000000"/>
        <rFont val="Microsoft JhengHei"/>
        <family val="0"/>
        <charset val="1"/>
      </rPr>
      <t xml:space="preserve">OHLCV;</t>
    </r>
    <r>
      <rPr>
        <sz val="11"/>
        <color rgb="FF000000"/>
        <rFont val="Noto Sans CJK SC"/>
        <family val="2"/>
      </rPr>
      <t xml:space="preserve">故歷史日線改用交易所官方 </t>
    </r>
    <r>
      <rPr>
        <sz val="11"/>
        <color rgb="FF000000"/>
        <rFont val="Microsoft JhengHei"/>
        <family val="0"/>
        <charset val="1"/>
      </rPr>
      <t xml:space="preserve">TWSE STOCK_DAY(</t>
    </r>
    <r>
      <rPr>
        <sz val="11"/>
        <color rgb="FF000000"/>
        <rFont val="Noto Sans CJK SC"/>
        <family val="2"/>
      </rPr>
      <t xml:space="preserve">權威來源</t>
    </r>
    <r>
      <rPr>
        <sz val="11"/>
        <color rgb="FF000000"/>
        <rFont val="Microsoft JhengHei"/>
        <family val="0"/>
        <charset val="1"/>
      </rPr>
      <t xml:space="preserve">),Yahoo </t>
    </r>
    <r>
      <rPr>
        <sz val="11"/>
        <color rgb="FF000000"/>
        <rFont val="Noto Sans CJK SC"/>
        <family val="2"/>
      </rPr>
      <t xml:space="preserve">股市</t>
    </r>
    <r>
      <rPr>
        <sz val="11"/>
        <color rgb="FF000000"/>
        <rFont val="Microsoft JhengHei"/>
        <family val="0"/>
        <charset val="1"/>
      </rPr>
      <t xml:space="preserve">(tw.stock.yahoo.com)</t>
    </r>
    <r>
      <rPr>
        <sz val="11"/>
        <color rgb="FF000000"/>
        <rFont val="Noto Sans CJK SC"/>
        <family val="2"/>
      </rPr>
      <t xml:space="preserve">網頁即時報價僅用於收盤價交叉驗證</t>
    </r>
    <r>
      <rPr>
        <sz val="11"/>
        <color rgb="FF000000"/>
        <rFont val="Microsoft JhengHei"/>
        <family val="0"/>
        <charset val="1"/>
      </rPr>
      <t xml:space="preserve">(2330/2454/2882 </t>
    </r>
    <r>
      <rPr>
        <sz val="11"/>
        <color rgb="FF000000"/>
        <rFont val="Noto Sans CJK SC"/>
        <family val="2"/>
      </rPr>
      <t xml:space="preserve">三檔全數吻合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資料時間 </t>
    </r>
    <r>
      <rPr>
        <sz val="11"/>
        <color rgb="FF000000"/>
        <rFont val="Microsoft JhengHei"/>
        <family val="0"/>
        <charset val="1"/>
      </rPr>
      <t xml:space="preserve">2026/07/09 14:30)</t>
    </r>
    <r>
      <rPr>
        <sz val="11"/>
        <color rgb="FF000000"/>
        <rFont val="Noto Sans CJK SC"/>
        <family val="2"/>
      </rPr>
      <t xml:space="preserve">。</t>
    </r>
  </si>
  <si>
    <r>
      <rPr>
        <sz val="11"/>
        <color rgb="FF000000"/>
        <rFont val="Noto Sans CJK SC"/>
        <family val="2"/>
      </rPr>
      <t xml:space="preserve">‧ 三大法人買賣超</t>
    </r>
    <r>
      <rPr>
        <sz val="11"/>
        <color rgb="FF000000"/>
        <rFont val="Microsoft JhengHei"/>
        <family val="0"/>
        <charset val="1"/>
      </rPr>
      <t xml:space="preserve">(T86)</t>
    </r>
    <r>
      <rPr>
        <sz val="11"/>
        <color rgb="FF000000"/>
        <rFont val="Noto Sans CJK SC"/>
        <family val="2"/>
      </rPr>
      <t xml:space="preserve">與融資融券歷史檔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Noto Sans CJK SC"/>
        <family val="2"/>
      </rPr>
      <t xml:space="preserve">單日全市場檔案過大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環境限制下無法批量回補一年歷史</t>
    </r>
    <r>
      <rPr>
        <sz val="11"/>
        <color rgb="FF000000"/>
        <rFont val="Microsoft JhengHei"/>
        <family val="0"/>
        <charset val="1"/>
      </rPr>
      <t xml:space="preserve">;</t>
    </r>
    <r>
      <rPr>
        <sz val="11"/>
        <color rgb="FF000000"/>
        <rFont val="Noto Sans CJK SC"/>
        <family val="2"/>
      </rPr>
      <t xml:space="preserve">依 </t>
    </r>
    <r>
      <rPr>
        <sz val="11"/>
        <color rgb="FF000000"/>
        <rFont val="Microsoft JhengHei"/>
        <family val="0"/>
        <charset val="1"/>
      </rPr>
      <t xml:space="preserve">backend/feature_schema.py </t>
    </r>
    <r>
      <rPr>
        <sz val="11"/>
        <color rgb="FF000000"/>
        <rFont val="Noto Sans CJK SC"/>
        <family val="2"/>
      </rPr>
      <t xml:space="preserve">既定規範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法人籌碼特徵以 </t>
    </r>
    <r>
      <rPr>
        <sz val="11"/>
        <color rgb="FF000000"/>
        <rFont val="Microsoft JhengHei"/>
        <family val="0"/>
        <charset val="1"/>
      </rPr>
      <t xml:space="preserve">0.0(</t>
    </r>
    <r>
      <rPr>
        <sz val="11"/>
        <color rgb="FF000000"/>
        <rFont val="Noto Sans CJK SC"/>
        <family val="2"/>
      </rPr>
      <t xml:space="preserve">中性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代入 </t>
    </r>
    <r>
      <rPr>
        <sz val="11"/>
        <color rgb="FF000000"/>
        <rFont val="Microsoft JhengHei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本次實際未使用。</t>
    </r>
  </si>
  <si>
    <r>
      <rPr>
        <sz val="11"/>
        <color rgb="FF000000"/>
        <rFont val="Microsoft JhengHei"/>
        <family val="0"/>
        <charset val="1"/>
      </rPr>
      <t xml:space="preserve">‧ K</t>
    </r>
    <r>
      <rPr>
        <sz val="11"/>
        <color rgb="FF000000"/>
        <rFont val="Noto Sans CJK SC"/>
        <family val="2"/>
      </rPr>
      <t xml:space="preserve">線圖形特徵</t>
    </r>
    <r>
      <rPr>
        <sz val="11"/>
        <color rgb="FF000000"/>
        <rFont val="Microsoft JhengHei"/>
        <family val="0"/>
        <charset val="1"/>
      </rPr>
      <t xml:space="preserve">(YOLO):repo </t>
    </r>
    <r>
      <rPr>
        <sz val="11"/>
        <color rgb="FF000000"/>
        <rFont val="Noto Sans CJK SC"/>
        <family val="2"/>
      </rPr>
      <t xml:space="preserve">內無已訓練模型檔</t>
    </r>
    <r>
      <rPr>
        <sz val="11"/>
        <color rgb="FF000000"/>
        <rFont val="Microsoft JhengHei"/>
        <family val="0"/>
        <charset val="1"/>
      </rPr>
      <t xml:space="preserve">(backend/ml_models/ </t>
    </r>
    <r>
      <rPr>
        <sz val="11"/>
        <color rgb="FF000000"/>
        <rFont val="Noto Sans CJK SC"/>
        <family val="2"/>
      </rPr>
      <t xml:space="preserve">不存在</t>
    </r>
    <r>
      <rPr>
        <sz val="11"/>
        <color rgb="FF000000"/>
        <rFont val="Microsoft JhengHei"/>
        <family val="0"/>
        <charset val="1"/>
      </rPr>
      <t xml:space="preserve">),</t>
    </r>
    <r>
      <rPr>
        <sz val="11"/>
        <color rgb="FF000000"/>
        <rFont val="Noto Sans CJK SC"/>
        <family val="2"/>
      </rPr>
      <t xml:space="preserve">圖形特徵以 </t>
    </r>
    <r>
      <rPr>
        <sz val="11"/>
        <color rgb="FF000000"/>
        <rFont val="Microsoft JhengHei"/>
        <family val="0"/>
        <charset val="1"/>
      </rPr>
      <t xml:space="preserve">0.0 </t>
    </r>
    <r>
      <rPr>
        <sz val="11"/>
        <color rgb="FF000000"/>
        <rFont val="Noto Sans CJK SC"/>
        <family val="2"/>
      </rPr>
      <t xml:space="preserve">代入 </t>
    </r>
    <r>
      <rPr>
        <sz val="11"/>
        <color rgb="FF000000"/>
        <rFont val="Microsoft JhengHei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未使用。</t>
    </r>
  </si>
  <si>
    <r>
      <rPr>
        <sz val="11"/>
        <color rgb="FF000000"/>
        <rFont val="Microsoft JhengHei"/>
        <family val="0"/>
        <charset val="1"/>
      </rPr>
      <t xml:space="preserve">‧ 2317 </t>
    </r>
    <r>
      <rPr>
        <sz val="11"/>
        <color rgb="FF000000"/>
        <rFont val="Noto Sans CJK SC"/>
        <family val="2"/>
      </rPr>
      <t xml:space="preserve">鴻海缺 </t>
    </r>
    <r>
      <rPr>
        <sz val="11"/>
        <color rgb="FF000000"/>
        <rFont val="Microsoft JhengHei"/>
        <family val="0"/>
        <charset val="1"/>
      </rPr>
      <t xml:space="preserve">2025-07-30 </t>
    </r>
    <r>
      <rPr>
        <sz val="11"/>
        <color rgb="FF000000"/>
        <rFont val="Noto Sans CJK SC"/>
        <family val="2"/>
      </rPr>
      <t xml:space="preserve">一筆</t>
    </r>
    <r>
      <rPr>
        <sz val="11"/>
        <color rgb="FF000000"/>
        <rFont val="Microsoft JhengHei"/>
        <family val="0"/>
        <charset val="1"/>
      </rPr>
      <t xml:space="preserve">:TWSE </t>
    </r>
    <r>
      <rPr>
        <sz val="11"/>
        <color rgb="FF000000"/>
        <rFont val="Noto Sans CJK SC"/>
        <family val="2"/>
      </rPr>
      <t xml:space="preserve">該月回傳即無此日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非本流程遺失。</t>
    </r>
    <r>
      <rPr>
        <sz val="11"/>
        <color rgb="FF000000"/>
        <rFont val="Microsoft JhengHei"/>
        <family val="0"/>
        <charset val="1"/>
      </rPr>
      <t xml:space="preserve">2026-05 </t>
    </r>
    <r>
      <rPr>
        <sz val="11"/>
        <color rgb="FF000000"/>
        <rFont val="Noto Sans CJK SC"/>
        <family val="2"/>
      </rPr>
      <t xml:space="preserve">月份首次查詢遭 </t>
    </r>
    <r>
      <rPr>
        <sz val="11"/>
        <color rgb="FF000000"/>
        <rFont val="Microsoft JhengHei"/>
        <family val="0"/>
        <charset val="1"/>
      </rPr>
      <t xml:space="preserve">TWSE </t>
    </r>
    <r>
      <rPr>
        <sz val="11"/>
        <color rgb="FF000000"/>
        <rFont val="Noto Sans CJK SC"/>
        <family val="2"/>
      </rPr>
      <t xml:space="preserve">回傳錯誤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已改用替代端點成功補齊並驗證。</t>
    </r>
  </si>
  <si>
    <r>
      <rPr>
        <sz val="11"/>
        <color rgb="FF000000"/>
        <rFont val="Microsoft JhengHei"/>
        <family val="0"/>
        <charset val="1"/>
      </rPr>
      <t xml:space="preserve">‧ 2026-07-10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Microsoft JhengHei"/>
        <family val="0"/>
        <charset val="1"/>
      </rPr>
      <t xml:space="preserve">07-11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Microsoft JhengHei"/>
        <family val="0"/>
        <charset val="1"/>
      </rPr>
      <t xml:space="preserve">07-12 </t>
    </r>
    <r>
      <rPr>
        <sz val="11"/>
        <color rgb="FF000000"/>
        <rFont val="Noto Sans CJK SC"/>
        <family val="2"/>
      </rPr>
      <t xml:space="preserve">非交易日</t>
    </r>
    <r>
      <rPr>
        <sz val="11"/>
        <color rgb="FF000000"/>
        <rFont val="Microsoft JhengHei"/>
        <family val="0"/>
        <charset val="1"/>
      </rPr>
      <t xml:space="preserve">(TWSE </t>
    </r>
    <r>
      <rPr>
        <sz val="11"/>
        <color rgb="FF000000"/>
        <rFont val="Noto Sans CJK SC"/>
        <family val="2"/>
      </rPr>
      <t xml:space="preserve">即時 </t>
    </r>
    <r>
      <rPr>
        <sz val="11"/>
        <color rgb="FF000000"/>
        <rFont val="Microsoft JhengHei"/>
        <family val="0"/>
        <charset val="1"/>
      </rPr>
      <t xml:space="preserve">API </t>
    </r>
    <r>
      <rPr>
        <sz val="11"/>
        <color rgb="FF000000"/>
        <rFont val="Noto Sans CJK SC"/>
        <family val="2"/>
      </rPr>
      <t xml:space="preserve">確認最後交易日為 </t>
    </r>
    <r>
      <rPr>
        <sz val="11"/>
        <color rgb="FF000000"/>
        <rFont val="Microsoft JhengHei"/>
        <family val="0"/>
        <charset val="1"/>
      </rPr>
      <t xml:space="preserve">2026-07-09;7/13 </t>
    </r>
    <r>
      <rPr>
        <sz val="11"/>
        <color rgb="FF000000"/>
        <rFont val="Noto Sans CJK SC"/>
        <family val="2"/>
      </rPr>
      <t xml:space="preserve">週一恢復交易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。</t>
    </r>
  </si>
  <si>
    <r>
      <rPr>
        <sz val="11"/>
        <color rgb="FF000000"/>
        <rFont val="Microsoft JhengHei"/>
        <family val="0"/>
        <charset val="1"/>
      </rPr>
      <t xml:space="preserve">‧ 6 </t>
    </r>
    <r>
      <rPr>
        <sz val="11"/>
        <color rgb="FF000000"/>
        <rFont val="Noto Sans CJK SC"/>
        <family val="2"/>
      </rPr>
      <t xml:space="preserve">檔標的取自 </t>
    </r>
    <r>
      <rPr>
        <sz val="11"/>
        <color rgb="FF000000"/>
        <rFont val="Microsoft JhengHei"/>
        <family val="0"/>
        <charset val="1"/>
      </rPr>
      <t xml:space="preserve">ml/config.py SEED_SYMBOLS </t>
    </r>
    <r>
      <rPr>
        <sz val="11"/>
        <color rgb="FF000000"/>
        <rFont val="Noto Sans CJK SC"/>
        <family val="2"/>
      </rPr>
      <t xml:space="preserve">流動性名單前段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涵蓋半導體</t>
    </r>
    <r>
      <rPr>
        <sz val="11"/>
        <color rgb="FF000000"/>
        <rFont val="Microsoft JhengHe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電子</t>
    </r>
    <r>
      <rPr>
        <sz val="11"/>
        <color rgb="FF000000"/>
        <rFont val="Microsoft JhengHei"/>
        <family val="0"/>
        <charset val="1"/>
      </rPr>
      <t xml:space="preserve">/IC</t>
    </r>
    <r>
      <rPr>
        <sz val="11"/>
        <color rgb="FF000000"/>
        <rFont val="Noto Sans CJK SC"/>
        <family val="2"/>
      </rPr>
      <t xml:space="preserve">設計</t>
    </r>
    <r>
      <rPr>
        <sz val="11"/>
        <color rgb="FF000000"/>
        <rFont val="Microsoft JhengHe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金融</t>
    </r>
    <r>
      <rPr>
        <sz val="11"/>
        <color rgb="FF000000"/>
        <rFont val="Microsoft JhengHe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航運</t>
    </r>
    <r>
      <rPr>
        <sz val="11"/>
        <color rgb="FF000000"/>
        <rFont val="Microsoft JhengHe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電源。</t>
    </r>
  </si>
  <si>
    <r>
      <rPr>
        <b val="true"/>
        <sz val="13"/>
        <color rgb="FF000000"/>
        <rFont val="Noto Sans CJK SC"/>
        <family val="2"/>
      </rPr>
      <t xml:space="preserve">方法、程式現況與限制</t>
    </r>
    <r>
      <rPr>
        <b val="true"/>
        <sz val="13"/>
        <color rgb="FF000000"/>
        <rFont val="Microsoft JhengHei"/>
        <family val="0"/>
        <charset val="1"/>
      </rPr>
      <t xml:space="preserve">(</t>
    </r>
    <r>
      <rPr>
        <b val="true"/>
        <sz val="13"/>
        <color rgb="FF000000"/>
        <rFont val="Noto Sans CJK SC"/>
        <family val="2"/>
      </rPr>
      <t xml:space="preserve">給部署決策者</t>
    </r>
    <r>
      <rPr>
        <b val="true"/>
        <sz val="13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</si>
  <si>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■ 程式現況</t>
    </r>
    <r>
      <rPr>
        <sz val="11"/>
        <color rgb="FF000000"/>
        <rFont val="Microsoft JhengHei"/>
        <family val="0"/>
        <charset val="1"/>
      </rPr>
      <t xml:space="preserve">:repo </t>
    </r>
    <r>
      <rPr>
        <sz val="11"/>
        <color rgb="FF000000"/>
        <rFont val="Noto Sans CJK SC"/>
        <family val="2"/>
      </rPr>
      <t xml:space="preserve">的 </t>
    </r>
    <r>
      <rPr>
        <sz val="11"/>
        <color rgb="FF000000"/>
        <rFont val="Microsoft JhengHei"/>
        <family val="0"/>
        <charset val="1"/>
      </rPr>
      <t xml:space="preserve">AI </t>
    </r>
    <r>
      <rPr>
        <sz val="11"/>
        <color rgb="FF000000"/>
        <rFont val="Noto Sans CJK SC"/>
        <family val="2"/>
      </rPr>
      <t xml:space="preserve">預測由 </t>
    </r>
    <r>
      <rPr>
        <sz val="11"/>
        <color rgb="FF000000"/>
        <rFont val="Microsoft JhengHei"/>
        <family val="0"/>
        <charset val="1"/>
      </rPr>
      <t xml:space="preserve">backend/ml_predict.py </t>
    </r>
    <r>
      <rPr>
        <sz val="11"/>
        <color rgb="FF000000"/>
        <rFont val="Noto Sans CJK SC"/>
        <family val="2"/>
      </rPr>
      <t xml:space="preserve">服務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需要 </t>
    </r>
    <r>
      <rPr>
        <sz val="11"/>
        <color rgb="FF000000"/>
        <rFont val="Microsoft JhengHei"/>
        <family val="0"/>
        <charset val="1"/>
      </rPr>
      <t xml:space="preserve">backend/ml_models/(manifest.json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Microsoft JhengHei"/>
        <family val="0"/>
        <charset val="1"/>
      </rPr>
      <t xml:space="preserve">pattern_yolo.onnx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Microsoft JhengHei"/>
        <family val="0"/>
        <charset val="1"/>
      </rPr>
      <t xml:space="preserve">lgbm_nextday.txt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Microsoft JhengHei"/>
        <family val="0"/>
        <charset val="1"/>
      </rPr>
      <t xml:space="preserve">lgbm_5day.txt)</t>
    </r>
    <r>
      <rPr>
        <sz val="11"/>
        <color rgb="FF000000"/>
        <rFont val="Noto Sans CJK SC"/>
        <family val="2"/>
      </rPr>
      <t xml:space="preserve">才能運作</t>
    </r>
    <r>
      <rPr>
        <sz val="11"/>
        <color rgb="FF000000"/>
        <rFont val="Microsoft JhengHei"/>
        <family val="0"/>
        <charset val="1"/>
      </rPr>
      <t xml:space="preserve">;</t>
    </r>
    <r>
      <rPr>
        <sz val="11"/>
        <color rgb="FF000000"/>
        <rFont val="Noto Sans CJK SC"/>
        <family val="2"/>
      </rPr>
      <t xml:space="preserve">此資料夾目前不存在</t>
    </r>
    <r>
      <rPr>
        <sz val="11"/>
        <color rgb="FF000000"/>
        <rFont val="Microsoft JhengHei"/>
        <family val="0"/>
        <charset val="1"/>
      </rPr>
      <t xml:space="preserve">,ml/ </t>
    </r>
    <r>
      <rPr>
        <sz val="11"/>
        <color rgb="FF000000"/>
        <rFont val="Noto Sans CJK SC"/>
        <family val="2"/>
      </rPr>
      <t xml:space="preserve">訓練管線亦僅有 </t>
    </r>
    <r>
      <rPr>
        <sz val="11"/>
        <color rgb="FF000000"/>
        <rFont val="Microsoft JhengHei"/>
        <family val="0"/>
        <charset val="1"/>
      </rPr>
      <t xml:space="preserve">config.py/db.py/universe.py </t>
    </r>
    <r>
      <rPr>
        <sz val="11"/>
        <color rgb="FF000000"/>
        <rFont val="Noto Sans CJK SC"/>
        <family val="2"/>
      </rPr>
      <t xml:space="preserve">骨架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缺 </t>
    </r>
    <r>
      <rPr>
        <sz val="11"/>
        <color rgb="FF000000"/>
        <rFont val="Microsoft JhengHei"/>
        <family val="0"/>
        <charset val="1"/>
      </rPr>
      <t xml:space="preserve">labels/features/train/evaluate)</t>
    </r>
    <r>
      <rPr>
        <sz val="11"/>
        <color rgb="FF000000"/>
        <rFont val="Noto Sans CJK SC"/>
        <family val="2"/>
      </rPr>
      <t xml:space="preserve">。故本次「執行」係依 </t>
    </r>
    <r>
      <rPr>
        <sz val="11"/>
        <color rgb="FF000000"/>
        <rFont val="Microsoft JhengHei"/>
        <family val="0"/>
        <charset val="1"/>
      </rPr>
      <t xml:space="preserve">repo </t>
    </r>
    <r>
      <rPr>
        <sz val="11"/>
        <color rgb="FF000000"/>
        <rFont val="Noto Sans CJK SC"/>
        <family val="2"/>
      </rPr>
      <t xml:space="preserve">設計文件重建可執行管線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Noto Sans CJK SC"/>
        <family val="2"/>
      </rPr>
      <t xml:space="preserve">直接 </t>
    </r>
    <r>
      <rPr>
        <sz val="11"/>
        <color rgb="FF000000"/>
        <rFont val="Microsoft JhengHei"/>
        <family val="0"/>
        <charset val="1"/>
      </rPr>
      <t xml:space="preserve">import backend/indicators.py(30 </t>
    </r>
    <r>
      <rPr>
        <sz val="11"/>
        <color rgb="FF000000"/>
        <rFont val="Noto Sans CJK SC"/>
        <family val="2"/>
      </rPr>
      <t xml:space="preserve">項技術指標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與 </t>
    </r>
    <r>
      <rPr>
        <sz val="11"/>
        <color rgb="FF000000"/>
        <rFont val="Microsoft JhengHei"/>
        <family val="0"/>
        <charset val="1"/>
      </rPr>
      <t xml:space="preserve">backend/feature_schema.py(</t>
    </r>
    <r>
      <rPr>
        <sz val="11"/>
        <color rgb="FF000000"/>
        <rFont val="Noto Sans CJK SC"/>
        <family val="2"/>
      </rPr>
      <t xml:space="preserve">特徵順序</t>
    </r>
    <r>
      <rPr>
        <sz val="11"/>
        <color rgb="FF000000"/>
        <rFont val="Microsoft JhengHe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缺值</t>
    </r>
    <r>
      <rPr>
        <sz val="11"/>
        <color rgb="FF000000"/>
        <rFont val="Microsoft JhengHei"/>
        <family val="0"/>
        <charset val="1"/>
      </rPr>
      <t xml:space="preserve">=0 </t>
    </r>
    <r>
      <rPr>
        <sz val="11"/>
        <color rgb="FF000000"/>
        <rFont val="Noto Sans CJK SC"/>
        <family val="2"/>
      </rPr>
      <t xml:space="preserve">規範</t>
    </r>
    <r>
      <rPr>
        <sz val="11"/>
        <color rgb="FF000000"/>
        <rFont val="Microsoft JhengHei"/>
        <family val="0"/>
        <charset val="1"/>
      </rPr>
      <t xml:space="preserve">),</t>
    </r>
    <r>
      <rPr>
        <sz val="11"/>
        <color rgb="FF000000"/>
        <rFont val="Noto Sans CJK SC"/>
        <family val="2"/>
      </rPr>
      <t xml:space="preserve">標籤採 </t>
    </r>
    <r>
      <rPr>
        <sz val="11"/>
        <color rgb="FF000000"/>
        <rFont val="Microsoft JhengHei"/>
        <family val="0"/>
        <charset val="1"/>
      </rPr>
      <t xml:space="preserve">ml/config.py </t>
    </r>
    <r>
      <rPr>
        <sz val="11"/>
        <color rgb="FF000000"/>
        <rFont val="Noto Sans CJK SC"/>
        <family val="2"/>
      </rPr>
      <t xml:space="preserve">死區</t>
    </r>
    <r>
      <rPr>
        <sz val="11"/>
        <color rgb="FF000000"/>
        <rFont val="Microsoft JhengHei"/>
        <family val="0"/>
        <charset val="1"/>
      </rPr>
      <t xml:space="preserve">(1</t>
    </r>
    <r>
      <rPr>
        <sz val="11"/>
        <color rgb="FF000000"/>
        <rFont val="Noto Sans CJK SC"/>
        <family val="2"/>
      </rPr>
      <t xml:space="preserve">日 </t>
    </r>
    <r>
      <rPr>
        <sz val="11"/>
        <color rgb="FF000000"/>
        <rFont val="Microsoft JhengHei"/>
        <family val="0"/>
        <charset val="1"/>
      </rPr>
      <t xml:space="preserve">±0.5%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Microsoft JhengHei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日 </t>
    </r>
    <r>
      <rPr>
        <sz val="11"/>
        <color rgb="FF000000"/>
        <rFont val="Microsoft JhengHei"/>
        <family val="0"/>
        <charset val="1"/>
      </rPr>
      <t xml:space="preserve">±1.2%,3</t>
    </r>
    <r>
      <rPr>
        <sz val="11"/>
        <color rgb="FF000000"/>
        <rFont val="Noto Sans CJK SC"/>
        <family val="2"/>
      </rPr>
      <t xml:space="preserve">類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Noto Sans CJK SC"/>
        <family val="2"/>
      </rPr>
      <t xml:space="preserve">下跌</t>
    </r>
    <r>
      <rPr>
        <sz val="11"/>
        <color rgb="FF000000"/>
        <rFont val="Microsoft JhengHe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持平</t>
    </r>
    <r>
      <rPr>
        <sz val="11"/>
        <color rgb="FF000000"/>
        <rFont val="Microsoft JhengHe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上漲</t>
    </r>
    <r>
      <rPr>
        <sz val="11"/>
        <color rgb="FF000000"/>
        <rFont val="Microsoft JhengHei"/>
        <family val="0"/>
        <charset val="1"/>
      </rPr>
      <t xml:space="preserve">),</t>
    </r>
    <r>
      <rPr>
        <sz val="11"/>
        <color rgb="FF000000"/>
        <rFont val="Noto Sans CJK SC"/>
        <family val="2"/>
      </rPr>
      <t xml:space="preserve">模型採 </t>
    </r>
    <r>
      <rPr>
        <sz val="11"/>
        <color rgb="FF000000"/>
        <rFont val="Microsoft JhengHei"/>
        <family val="0"/>
        <charset val="1"/>
      </rPr>
      <t xml:space="preserve">LightGBM </t>
    </r>
    <r>
      <rPr>
        <sz val="11"/>
        <color rgb="FF000000"/>
        <rFont val="Noto Sans CJK SC"/>
        <family val="2"/>
      </rPr>
      <t xml:space="preserve">多分類——與 </t>
    </r>
    <r>
      <rPr>
        <sz val="11"/>
        <color rgb="FF000000"/>
        <rFont val="Microsoft JhengHei"/>
        <family val="0"/>
        <charset val="1"/>
      </rPr>
      <t xml:space="preserve">repo </t>
    </r>
    <r>
      <rPr>
        <sz val="11"/>
        <color rgb="FF000000"/>
        <rFont val="Noto Sans CJK SC"/>
        <family val="2"/>
      </rPr>
      <t xml:space="preserve">規劃一致。</t>
    </r>
  </si>
  <si>
    <r>
      <rPr>
        <sz val="11"/>
        <color rgb="FF000000"/>
        <rFont val="Noto Sans CJK SC"/>
        <family val="2"/>
      </rPr>
      <t xml:space="preserve">■ 驗證協議</t>
    </r>
    <r>
      <rPr>
        <sz val="11"/>
        <color rgb="FF000000"/>
        <rFont val="Microsoft JhengHei"/>
        <family val="0"/>
        <charset val="1"/>
      </rPr>
      <t xml:space="preserve">:expanding-window walk-forward,</t>
    </r>
    <r>
      <rPr>
        <sz val="11"/>
        <color rgb="FF000000"/>
        <rFont val="Noto Sans CJK SC"/>
        <family val="2"/>
      </rPr>
      <t xml:space="preserve">逐月重訓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測試月 </t>
    </r>
    <r>
      <rPr>
        <sz val="11"/>
        <color rgb="FF000000"/>
        <rFont val="Microsoft JhengHei"/>
        <family val="0"/>
        <charset val="1"/>
      </rPr>
      <t xml:space="preserve">2026-04 ~ 2026-07;</t>
    </r>
    <r>
      <rPr>
        <sz val="11"/>
        <color rgb="FF000000"/>
        <rFont val="Noto Sans CJK SC"/>
        <family val="2"/>
      </rPr>
      <t xml:space="preserve">訓練集僅含「標籤結算日早於測試月首日」之樣本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杜絕前視洩漏。測試樣本 </t>
    </r>
    <r>
      <rPr>
        <sz val="11"/>
        <color rgb="FF000000"/>
        <rFont val="Microsoft JhengHei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Microsoft JhengHei"/>
        <family val="0"/>
        <charset val="1"/>
      </rPr>
      <t xml:space="preserve">=411 </t>
    </r>
    <r>
      <rPr>
        <sz val="11"/>
        <color rgb="FF000000"/>
        <rFont val="Noto Sans CJK SC"/>
        <family val="2"/>
      </rPr>
      <t xml:space="preserve">筆、</t>
    </r>
    <r>
      <rPr>
        <sz val="11"/>
        <color rgb="FF000000"/>
        <rFont val="Microsoft JhengHei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Microsoft JhengHei"/>
        <family val="0"/>
        <charset val="1"/>
      </rPr>
      <t xml:space="preserve">=387 </t>
    </r>
    <r>
      <rPr>
        <sz val="11"/>
        <color rgb="FF000000"/>
        <rFont val="Noto Sans CJK SC"/>
        <family val="2"/>
      </rPr>
      <t xml:space="preserve">筆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全部為樣本外。</t>
    </r>
  </si>
  <si>
    <r>
      <rPr>
        <sz val="11"/>
        <color rgb="FF000000"/>
        <rFont val="Noto Sans CJK SC"/>
        <family val="2"/>
      </rPr>
      <t xml:space="preserve">■ 兩組設定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全部揭露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無挑選</t>
    </r>
    <r>
      <rPr>
        <sz val="11"/>
        <color rgb="FF000000"/>
        <rFont val="Microsoft JhengHei"/>
        <family val="0"/>
        <charset val="1"/>
      </rPr>
      <t xml:space="preserve">):(1)</t>
    </r>
    <r>
      <rPr>
        <sz val="11"/>
        <color rgb="FF000000"/>
        <rFont val="Noto Sans CJK SC"/>
        <family val="2"/>
      </rPr>
      <t xml:space="preserve">基準版</t>
    </r>
    <r>
      <rPr>
        <sz val="11"/>
        <color rgb="FF000000"/>
        <rFont val="Microsoft JhengHei"/>
        <family val="0"/>
        <charset val="1"/>
      </rPr>
      <t xml:space="preserve">=LightGBM </t>
    </r>
    <r>
      <rPr>
        <sz val="11"/>
        <color rgb="FF000000"/>
        <rFont val="Noto Sans CJK SC"/>
        <family val="2"/>
      </rPr>
      <t xml:space="preserve">預設 </t>
    </r>
    <r>
      <rPr>
        <sz val="11"/>
        <color rgb="FF000000"/>
        <rFont val="Microsoft JhengHei"/>
        <family val="0"/>
        <charset val="1"/>
      </rPr>
      <t xml:space="preserve">logloss </t>
    </r>
    <r>
      <rPr>
        <sz val="11"/>
        <color rgb="FF000000"/>
        <rFont val="Noto Sans CJK SC"/>
        <family val="2"/>
      </rPr>
      <t xml:space="preserve">早停 → 因驗證切片落在 </t>
    </r>
    <r>
      <rPr>
        <sz val="11"/>
        <color rgb="FF000000"/>
        <rFont val="Microsoft JhengHei"/>
        <family val="0"/>
        <charset val="1"/>
      </rPr>
      <t xml:space="preserve">2026/2-3 </t>
    </r>
    <r>
      <rPr>
        <sz val="11"/>
        <color rgb="FF000000"/>
        <rFont val="Noto Sans CJK SC"/>
        <family val="2"/>
      </rPr>
      <t xml:space="preserve">修正期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第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輪即早停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模型退化為「幾乎全猜上漲」</t>
    </r>
    <r>
      <rPr>
        <sz val="11"/>
        <color rgb="FF000000"/>
        <rFont val="Microsoft JhengHei"/>
        <family val="0"/>
        <charset val="1"/>
      </rPr>
      <t xml:space="preserve">;(2)</t>
    </r>
    <r>
      <rPr>
        <sz val="11"/>
        <color rgb="FF000000"/>
        <rFont val="Noto Sans CJK SC"/>
        <family val="2"/>
      </rPr>
      <t xml:space="preserve">平衡版</t>
    </r>
    <r>
      <rPr>
        <sz val="11"/>
        <color rgb="FF000000"/>
        <rFont val="Microsoft JhengHei"/>
        <family val="0"/>
        <charset val="1"/>
      </rPr>
      <t xml:space="preserve">=</t>
    </r>
    <r>
      <rPr>
        <sz val="11"/>
        <color rgb="FF000000"/>
        <rFont val="Noto Sans CJK SC"/>
        <family val="2"/>
      </rPr>
      <t xml:space="preserve">類別平衡權重 </t>
    </r>
    <r>
      <rPr>
        <sz val="11"/>
        <color rgb="FF000000"/>
        <rFont val="Microsoft JhengHei"/>
        <family val="0"/>
        <charset val="1"/>
      </rPr>
      <t xml:space="preserve">+ balanced-accuracy </t>
    </r>
    <r>
      <rPr>
        <sz val="11"/>
        <color rgb="FF000000"/>
        <rFont val="Noto Sans CJK SC"/>
        <family val="2"/>
      </rPr>
      <t xml:space="preserve">早停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修正類別不平衡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。平衡版係在觀察到基準版退化後加入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兩版測試結果並列呈報。</t>
    </r>
  </si>
  <si>
    <r>
      <rPr>
        <sz val="11"/>
        <color rgb="FF000000"/>
        <rFont val="Noto Sans CJK SC"/>
        <family val="2"/>
      </rPr>
      <t xml:space="preserve">■ 核心結論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真實、樣本外</t>
    </r>
    <r>
      <rPr>
        <sz val="11"/>
        <color rgb="FF000000"/>
        <rFont val="Microsoft JhengHei"/>
        <family val="0"/>
        <charset val="1"/>
      </rPr>
      <t xml:space="preserve">):1</t>
    </r>
    <r>
      <rPr>
        <sz val="11"/>
        <color rgb="FF000000"/>
        <rFont val="Noto Sans CJK SC"/>
        <family val="2"/>
      </rPr>
      <t xml:space="preserve">日水平——平衡版 </t>
    </r>
    <r>
      <rPr>
        <sz val="11"/>
        <color rgb="FF000000"/>
        <rFont val="Microsoft JhengHei"/>
        <family val="0"/>
        <charset val="1"/>
      </rPr>
      <t xml:space="preserve">37.0%(CI 32.5%~41.8%)</t>
    </r>
    <r>
      <rPr>
        <sz val="11"/>
        <color rgb="FF000000"/>
        <rFont val="Noto Sans CJK SC"/>
        <family val="2"/>
      </rPr>
      <t xml:space="preserve">、基準版 </t>
    </r>
    <r>
      <rPr>
        <sz val="11"/>
        <color rgb="FF000000"/>
        <rFont val="Microsoft JhengHei"/>
        <family val="0"/>
        <charset val="1"/>
      </rPr>
      <t xml:space="preserve">41.4%,</t>
    </r>
    <r>
      <rPr>
        <sz val="11"/>
        <color rgb="FF000000"/>
        <rFont val="Noto Sans CJK SC"/>
        <family val="2"/>
      </rPr>
      <t xml:space="preserve">皆未優於「永遠猜上漲」</t>
    </r>
    <r>
      <rPr>
        <sz val="11"/>
        <color rgb="FF000000"/>
        <rFont val="Microsoft JhengHei"/>
        <family val="0"/>
        <charset val="1"/>
      </rPr>
      <t xml:space="preserve">43.1%;5</t>
    </r>
    <r>
      <rPr>
        <sz val="11"/>
        <color rgb="FF000000"/>
        <rFont val="Noto Sans CJK SC"/>
        <family val="2"/>
      </rPr>
      <t xml:space="preserve">日水平——平衡版 </t>
    </r>
    <r>
      <rPr>
        <sz val="11"/>
        <color rgb="FF000000"/>
        <rFont val="Microsoft JhengHei"/>
        <family val="0"/>
        <charset val="1"/>
      </rPr>
      <t xml:space="preserve">35.7%</t>
    </r>
    <r>
      <rPr>
        <sz val="11"/>
        <color rgb="FF000000"/>
        <rFont val="Noto Sans CJK SC"/>
        <family val="2"/>
      </rPr>
      <t xml:space="preserve">、基準版 </t>
    </r>
    <r>
      <rPr>
        <sz val="11"/>
        <color rgb="FF000000"/>
        <rFont val="Microsoft JhengHei"/>
        <family val="0"/>
        <charset val="1"/>
      </rPr>
      <t xml:space="preserve">51.4%=</t>
    </r>
    <r>
      <rPr>
        <sz val="11"/>
        <color rgb="FF000000"/>
        <rFont val="Noto Sans CJK SC"/>
        <family val="2"/>
      </rPr>
      <t xml:space="preserve">永遠猜上漲基準線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且遠低於「沿用前一日方向」</t>
    </r>
    <r>
      <rPr>
        <sz val="11"/>
        <color rgb="FF000000"/>
        <rFont val="Microsoft JhengHei"/>
        <family val="0"/>
        <charset val="1"/>
      </rPr>
      <t xml:space="preserve">72.2%(5</t>
    </r>
    <r>
      <rPr>
        <sz val="11"/>
        <color rgb="FF000000"/>
        <rFont val="Noto Sans CJK SC"/>
        <family val="2"/>
      </rPr>
      <t xml:space="preserve">日報酬重疊自相關使然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。方向命中率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出手時報酬符號</t>
    </r>
    <r>
      <rPr>
        <sz val="11"/>
        <color rgb="FF000000"/>
        <rFont val="Microsoft JhengHei"/>
        <family val="0"/>
        <charset val="1"/>
      </rPr>
      <t xml:space="preserve">)45.7%~58.1%,</t>
    </r>
    <r>
      <rPr>
        <sz val="11"/>
        <color rgb="FF000000"/>
        <rFont val="Noto Sans CJK SC"/>
        <family val="2"/>
      </rPr>
      <t xml:space="preserve">未穩定超越擲幣。</t>
    </r>
  </si>
  <si>
    <r>
      <rPr>
        <sz val="11"/>
        <color rgb="FF000000"/>
        <rFont val="Noto Sans CJK SC"/>
        <family val="2"/>
      </rPr>
      <t xml:space="preserve">■ 判讀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Noto Sans CJK SC"/>
        <family val="2"/>
      </rPr>
      <t xml:space="preserve">在僅有價量技術指標的條件下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本模型對台股 </t>
    </r>
    <r>
      <rPr>
        <sz val="11"/>
        <color rgb="FF000000"/>
        <rFont val="Microsoft JhengHei"/>
        <family val="0"/>
        <charset val="1"/>
      </rPr>
      <t xml:space="preserve">6 </t>
    </r>
    <r>
      <rPr>
        <sz val="11"/>
        <color rgb="FF000000"/>
        <rFont val="Noto Sans CJK SC"/>
        <family val="2"/>
      </rPr>
      <t xml:space="preserve">檔大型權值股之次日</t>
    </r>
    <r>
      <rPr>
        <sz val="11"/>
        <color rgb="FF000000"/>
        <rFont val="Microsoft JhengHei"/>
        <family val="0"/>
        <charset val="1"/>
      </rPr>
      <t xml:space="preserve">/5</t>
    </r>
    <r>
      <rPr>
        <sz val="11"/>
        <color rgb="FF000000"/>
        <rFont val="Noto Sans CJK SC"/>
        <family val="2"/>
      </rPr>
      <t xml:space="preserve">日方向無可部署的預測力。此結果與 </t>
    </r>
    <r>
      <rPr>
        <sz val="11"/>
        <color rgb="FF000000"/>
        <rFont val="Microsoft JhengHei"/>
        <family val="0"/>
        <charset val="1"/>
      </rPr>
      <t xml:space="preserve">ml/config.py </t>
    </r>
    <r>
      <rPr>
        <sz val="11"/>
        <color rgb="FF000000"/>
        <rFont val="Noto Sans CJK SC"/>
        <family val="2"/>
      </rPr>
      <t xml:space="preserve">檔頭自述一致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「流動性股票的次日方向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學術上隨機漫步天花板約 </t>
    </r>
    <r>
      <rPr>
        <sz val="11"/>
        <color rgb="FF000000"/>
        <rFont val="Microsoft JhengHei"/>
        <family val="0"/>
        <charset val="1"/>
      </rPr>
      <t xml:space="preserve">50-55%</t>
    </r>
    <r>
      <rPr>
        <sz val="11"/>
        <color rgb="FF000000"/>
        <rFont val="Noto Sans CJK SC"/>
        <family val="2"/>
      </rPr>
      <t xml:space="preserve">」</t>
    </r>
    <r>
      <rPr>
        <sz val="11"/>
        <color rgb="FF000000"/>
        <rFont val="Microsoft JhengHei"/>
        <family val="0"/>
        <charset val="1"/>
      </rPr>
      <t xml:space="preserve">);repo </t>
    </r>
    <r>
      <rPr>
        <sz val="11"/>
        <color rgb="FF000000"/>
        <rFont val="Noto Sans CJK SC"/>
        <family val="2"/>
      </rPr>
      <t xml:space="preserve">期望的 </t>
    </r>
    <r>
      <rPr>
        <sz val="11"/>
        <color rgb="FF000000"/>
        <rFont val="Microsoft JhengHei"/>
        <family val="0"/>
        <charset val="1"/>
      </rPr>
      <t xml:space="preserve">~75% </t>
    </r>
    <r>
      <rPr>
        <sz val="11"/>
        <color rgb="FF000000"/>
        <rFont val="Noto Sans CJK SC"/>
        <family val="2"/>
      </rPr>
      <t xml:space="preserve">需依賴死區設計</t>
    </r>
    <r>
      <rPr>
        <sz val="11"/>
        <color rgb="FF000000"/>
        <rFont val="Microsoft JhengHei"/>
        <family val="0"/>
        <charset val="1"/>
      </rPr>
      <t xml:space="preserve">+</t>
    </r>
    <r>
      <rPr>
        <sz val="11"/>
        <color rgb="FF000000"/>
        <rFont val="Noto Sans CJK SC"/>
        <family val="2"/>
      </rPr>
      <t xml:space="preserve">籌碼</t>
    </r>
    <r>
      <rPr>
        <sz val="11"/>
        <color rgb="FF000000"/>
        <rFont val="Microsoft JhengHe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圖形特徵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本次實測顯示僅靠技術指標遠達不到。</t>
    </r>
  </si>
  <si>
    <r>
      <rPr>
        <sz val="11"/>
        <color rgb="FF000000"/>
        <rFont val="Noto Sans CJK SC"/>
        <family val="2"/>
      </rPr>
      <t xml:space="preserve">■ 若要繼續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Noto Sans CJK SC"/>
        <family val="2"/>
      </rPr>
      <t xml:space="preserve">優先補齊 </t>
    </r>
    <r>
      <rPr>
        <sz val="11"/>
        <color rgb="FF000000"/>
        <rFont val="Microsoft JhengHei"/>
        <family val="0"/>
        <charset val="1"/>
      </rPr>
      <t xml:space="preserve">(1) </t>
    </r>
    <r>
      <rPr>
        <sz val="11"/>
        <color rgb="FF000000"/>
        <rFont val="Noto Sans CJK SC"/>
        <family val="2"/>
      </rPr>
      <t xml:space="preserve">三大法人</t>
    </r>
    <r>
      <rPr>
        <sz val="11"/>
        <color rgb="FF000000"/>
        <rFont val="Microsoft JhengHe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融資券歷史特徵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建立每日增量收集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如 </t>
    </r>
    <r>
      <rPr>
        <sz val="11"/>
        <color rgb="FF000000"/>
        <rFont val="Microsoft JhengHei"/>
        <family val="0"/>
        <charset val="1"/>
      </rPr>
      <t xml:space="preserve">ml/ </t>
    </r>
    <r>
      <rPr>
        <sz val="11"/>
        <color rgb="FF000000"/>
        <rFont val="Noto Sans CJK SC"/>
        <family val="2"/>
      </rPr>
      <t xml:space="preserve">管線原規劃</t>
    </r>
    <r>
      <rPr>
        <sz val="11"/>
        <color rgb="FF000000"/>
        <rFont val="Microsoft JhengHei"/>
        <family val="0"/>
        <charset val="1"/>
      </rPr>
      <t xml:space="preserve">);(2) YOLO </t>
    </r>
    <r>
      <rPr>
        <sz val="11"/>
        <color rgb="FF000000"/>
        <rFont val="Noto Sans CJK SC"/>
        <family val="2"/>
      </rPr>
      <t xml:space="preserve">圖形模型訓練</t>
    </r>
    <r>
      <rPr>
        <sz val="11"/>
        <color rgb="FF000000"/>
        <rFont val="Microsoft JhengHei"/>
        <family val="0"/>
        <charset val="1"/>
      </rPr>
      <t xml:space="preserve">;(3) </t>
    </r>
    <r>
      <rPr>
        <sz val="11"/>
        <color rgb="FF000000"/>
        <rFont val="Noto Sans CJK SC"/>
        <family val="2"/>
      </rPr>
      <t xml:space="preserve">更長歷史</t>
    </r>
    <r>
      <rPr>
        <sz val="11"/>
        <color rgb="FF000000"/>
        <rFont val="Microsoft JhengHei"/>
        <family val="0"/>
        <charset val="1"/>
      </rPr>
      <t xml:space="preserve">(2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Microsoft JhengHei"/>
        <family val="0"/>
        <charset val="1"/>
      </rPr>
      <t xml:space="preserve">+)</t>
    </r>
    <r>
      <rPr>
        <sz val="11"/>
        <color rgb="FF000000"/>
        <rFont val="Noto Sans CJK SC"/>
        <family val="2"/>
      </rPr>
      <t xml:space="preserve">與更大股票池</t>
    </r>
    <r>
      <rPr>
        <sz val="11"/>
        <color rgb="FF000000"/>
        <rFont val="Microsoft JhengHei"/>
        <family val="0"/>
        <charset val="1"/>
      </rPr>
      <t xml:space="preserve">;(4) </t>
    </r>
    <r>
      <rPr>
        <sz val="11"/>
        <color rgb="FF000000"/>
        <rFont val="Noto Sans CJK SC"/>
        <family val="2"/>
      </rPr>
      <t xml:space="preserve">以「沿用前一日方向」與「永遠猜上漲」為最低上線門檻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加上機率校準與交易成本回測。在未穩定超越上述基準線之前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不建議作為付費功能上線。</t>
    </r>
  </si>
  <si>
    <r>
      <rPr>
        <sz val="11"/>
        <color rgb="FF000000"/>
        <rFont val="Noto Sans CJK SC"/>
        <family val="2"/>
      </rPr>
      <t xml:space="preserve">■ 免責聲明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Noto Sans CJK SC"/>
        <family val="2"/>
      </rPr>
      <t xml:space="preserve">本報告為模型能力評估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非投資建議。過往準確度不代表未來表現。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</si>
</sst>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%"/>
    <numFmt numFmtId="167" formatCode="0.000"/>
    <numFmt numFmtId="168" formatCode="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Microsoft JhengHei"/>
      <family val="0"/>
      <charset val="1"/>
    </font>
    <font>
      <b val="true"/>
      <sz val="16"/>
      <color rgb="FF000000"/>
      <name val="Noto Sans CJK SC"/>
      <family val="2"/>
    </font>
    <font>
      <sz val="11"/>
      <color rgb="FF595959"/>
      <name val="Noto Sans CJK SC"/>
      <family val="2"/>
    </font>
    <font>
      <sz val="11"/>
      <color rgb="FF595959"/>
      <name val="Microsoft JhengHei"/>
      <family val="0"/>
      <charset val="1"/>
    </font>
    <font>
      <b val="true"/>
      <sz val="11"/>
      <color rgb="FF9C0006"/>
      <name val="Noto Sans CJK SC"/>
      <family val="2"/>
    </font>
    <font>
      <b val="true"/>
      <sz val="11"/>
      <color rgb="FF9C0006"/>
      <name val="Microsoft JhengHei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00"/>
      <name val="Microsoft JhengHei"/>
      <family val="0"/>
      <charset val="1"/>
    </font>
    <font>
      <sz val="11"/>
      <color rgb="FF000000"/>
      <name val="Microsoft JhengHe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Microsoft JhengHei"/>
      <family val="0"/>
      <charset val="1"/>
    </font>
    <font>
      <sz val="11"/>
      <color rgb="FF000000"/>
      <name val="Noto Sans CJK SC"/>
      <family val="2"/>
    </font>
    <font>
      <b val="true"/>
      <sz val="13"/>
      <color rgb="FF000000"/>
      <name val="Noto Sans CJK SC"/>
      <family val="2"/>
    </font>
    <font>
      <b val="true"/>
      <sz val="13"/>
      <color rgb="FF000000"/>
      <name val="Microsoft JhengHei"/>
      <family val="0"/>
      <charset val="1"/>
    </font>
    <font>
      <i val="true"/>
      <sz val="11"/>
      <color rgb="FF808080"/>
      <name val="Noto Sans CJK SC"/>
      <family val="2"/>
    </font>
    <font>
      <i val="true"/>
      <sz val="11"/>
      <color rgb="FF808080"/>
      <name val="Microsoft JhengHe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CE4EC"/>
      </patternFill>
    </fill>
    <fill>
      <patternFill patternType="solid">
        <fgColor rgb="FFE2EFDA"/>
        <bgColor rgb="FFD9E2F3"/>
      </patternFill>
    </fill>
    <fill>
      <patternFill patternType="solid">
        <fgColor rgb="FFFCE4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</cols>
  <sheetData>
    <row r="1" customFormat="false" ht="23.8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</row>
    <row r="6" customFormat="false" ht="17.15" hidden="false" customHeight="false" outlineLevel="0" collapsed="false">
      <c r="A6" s="4" t="s">
        <v>3</v>
      </c>
      <c r="B6" s="5"/>
      <c r="C6" s="5"/>
      <c r="D6" s="5"/>
      <c r="E6" s="5"/>
    </row>
    <row r="7" customFormat="false" ht="17.15" hidden="false" customHeight="fals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</row>
    <row r="8" customFormat="false" ht="17.15" hidden="false" customHeight="false" outlineLevel="0" collapsed="false">
      <c r="A8" s="7" t="s">
        <v>9</v>
      </c>
      <c r="B8" s="8" t="n">
        <f aca="false">AVERAGE(明細平衡版1日!$F$2:$F$412)</f>
        <v>0.369829683698297</v>
      </c>
      <c r="C8" s="8" t="n">
        <f aca="false">AVERAGE(明細平衡版5日!$F$2:$F$388)</f>
        <v>0.356589147286822</v>
      </c>
      <c r="D8" s="8" t="n">
        <f aca="false">AVERAGE(明細基準版1日!$F$2:$F$412)</f>
        <v>0.413625304136253</v>
      </c>
      <c r="E8" s="8" t="n">
        <f aca="false">AVERAGE(明細基準版5日!$F$2:$F$388)</f>
        <v>0.51421188630491</v>
      </c>
    </row>
    <row r="9" customFormat="false" ht="17.15" hidden="false" customHeight="false" outlineLevel="0" collapsed="false">
      <c r="A9" s="7" t="s">
        <v>10</v>
      </c>
      <c r="B9" s="8" t="n">
        <f aca="false">COUNTIF(明細平衡版1日!$E$2:$E$412,"上漲")/COUNTA(明細平衡版1日!$E$2:$E$412)</f>
        <v>0.428223844282238</v>
      </c>
      <c r="C9" s="8" t="n">
        <f aca="false">COUNTIF(明細平衡版5日!$E$2:$E$388,"上漲")/COUNTA(明細平衡版5日!$E$2:$E$388)</f>
        <v>0.51421188630491</v>
      </c>
      <c r="D9" s="8" t="n">
        <f aca="false">COUNTIF(明細基準版1日!$E$2:$E$412,"上漲")/COUNTA(明細基準版1日!$E$2:$E$412)</f>
        <v>0.428223844282238</v>
      </c>
      <c r="E9" s="8" t="n">
        <f aca="false">COUNTIF(明細基準版5日!$E$2:$E$388,"上漲")/COUNTA(明細基準版5日!$E$2:$E$388)</f>
        <v>0.51421188630491</v>
      </c>
    </row>
    <row r="10" customFormat="false" ht="17.15" hidden="false" customHeight="false" outlineLevel="0" collapsed="false">
      <c r="A10" s="7" t="s">
        <v>11</v>
      </c>
      <c r="B10" s="9" t="str">
        <f aca="false">IF(B8&gt;B9,"是","否")</f>
        <v>否</v>
      </c>
      <c r="C10" s="9" t="str">
        <f aca="false">IF(C8&gt;C9,"是","否")</f>
        <v>否</v>
      </c>
      <c r="D10" s="9" t="str">
        <f aca="false">IF(D8&gt;D9,"是","否")</f>
        <v>否</v>
      </c>
      <c r="E10" s="9" t="str">
        <f aca="false">IF(E8&gt;E9,"是","否")</f>
        <v>否</v>
      </c>
    </row>
    <row r="11" customFormat="false" ht="17.15" hidden="false" customHeight="false" outlineLevel="0" collapsed="false">
      <c r="A11" s="7" t="s">
        <v>12</v>
      </c>
      <c r="B11" s="7" t="n">
        <f aca="false">COUNTA(明細平衡版1日!$E$2:$E$412)</f>
        <v>411</v>
      </c>
      <c r="C11" s="7" t="n">
        <f aca="false">COUNTA(明細平衡版5日!$E$2:$E$388)</f>
        <v>387</v>
      </c>
      <c r="D11" s="7" t="n">
        <f aca="false">COUNTA(明細基準版1日!$E$2:$E$412)</f>
        <v>411</v>
      </c>
      <c r="E11" s="7" t="n">
        <f aca="false">COUNTA(明細基準版5日!$E$2:$E$388)</f>
        <v>387</v>
      </c>
    </row>
    <row r="13" customFormat="false" ht="30" hidden="false" customHeight="true" outlineLevel="0" collapsed="false">
      <c r="A13" s="10" t="s">
        <v>13</v>
      </c>
    </row>
    <row r="14" customFormat="false" ht="17.15" hidden="false" customHeight="false" outlineLevel="0" collapsed="false">
      <c r="A14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7" min="6" style="0" width="11"/>
    <col collapsed="false" customWidth="true" hidden="false" outlineLevel="0" max="10" min="8" style="0" width="9"/>
    <col collapsed="false" customWidth="true" hidden="false" outlineLevel="0" max="13" min="11" style="0" width="10"/>
  </cols>
  <sheetData>
    <row r="1" customFormat="false" ht="30.55" hidden="false" customHeight="fals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11" t="s">
        <v>22</v>
      </c>
      <c r="I1" s="11" t="s">
        <v>23</v>
      </c>
      <c r="J1" s="11" t="s">
        <v>24</v>
      </c>
      <c r="K1" s="6" t="s">
        <v>25</v>
      </c>
      <c r="L1" s="6" t="s">
        <v>26</v>
      </c>
      <c r="M1" s="6" t="s">
        <v>27</v>
      </c>
    </row>
    <row r="2" customFormat="false" ht="15" hidden="false" customHeight="false" outlineLevel="0" collapsed="false">
      <c r="A2" s="12" t="s">
        <v>28</v>
      </c>
      <c r="B2" s="7" t="s">
        <v>29</v>
      </c>
      <c r="C2" s="12" t="s">
        <v>30</v>
      </c>
      <c r="D2" s="7" t="s">
        <v>31</v>
      </c>
      <c r="E2" s="7" t="s">
        <v>32</v>
      </c>
      <c r="F2" s="12" t="n">
        <f aca="false">IF(D2=E2,1,0)</f>
        <v>0</v>
      </c>
      <c r="G2" s="13" t="n">
        <v>-0.0305084745762711</v>
      </c>
      <c r="H2" s="14" t="n">
        <v>0.304381204034521</v>
      </c>
      <c r="I2" s="14" t="n">
        <v>0.32735562627769</v>
      </c>
      <c r="J2" s="14" t="n">
        <v>0.368263169687789</v>
      </c>
      <c r="K2" s="12" t="s">
        <v>33</v>
      </c>
      <c r="L2" s="15" t="n">
        <v>857</v>
      </c>
      <c r="M2" s="15" t="n">
        <v>5</v>
      </c>
    </row>
    <row r="3" customFormat="false" ht="15" hidden="false" customHeight="false" outlineLevel="0" collapsed="false">
      <c r="A3" s="12" t="s">
        <v>34</v>
      </c>
      <c r="B3" s="7" t="s">
        <v>35</v>
      </c>
      <c r="C3" s="12" t="s">
        <v>30</v>
      </c>
      <c r="D3" s="7" t="s">
        <v>31</v>
      </c>
      <c r="E3" s="7" t="s">
        <v>32</v>
      </c>
      <c r="F3" s="12" t="n">
        <f aca="false">IF(D3=E3,1,0)</f>
        <v>0</v>
      </c>
      <c r="G3" s="13" t="n">
        <v>-0.0203045685279187</v>
      </c>
      <c r="H3" s="14" t="n">
        <v>0.282796664304782</v>
      </c>
      <c r="I3" s="14" t="n">
        <v>0.349678662037832</v>
      </c>
      <c r="J3" s="14" t="n">
        <v>0.367524673657386</v>
      </c>
      <c r="K3" s="12" t="s">
        <v>33</v>
      </c>
      <c r="L3" s="15" t="n">
        <v>857</v>
      </c>
      <c r="M3" s="15" t="n">
        <v>5</v>
      </c>
    </row>
    <row r="4" customFormat="false" ht="15" hidden="false" customHeight="false" outlineLevel="0" collapsed="false">
      <c r="A4" s="12" t="s">
        <v>36</v>
      </c>
      <c r="B4" s="7" t="s">
        <v>37</v>
      </c>
      <c r="C4" s="12" t="s">
        <v>30</v>
      </c>
      <c r="D4" s="7" t="s">
        <v>31</v>
      </c>
      <c r="E4" s="7" t="s">
        <v>32</v>
      </c>
      <c r="F4" s="12" t="n">
        <f aca="false">IF(D4=E4,1,0)</f>
        <v>0</v>
      </c>
      <c r="G4" s="13" t="n">
        <v>-0.0242587601078166</v>
      </c>
      <c r="H4" s="14" t="n">
        <v>0.286589005509432</v>
      </c>
      <c r="I4" s="14" t="n">
        <v>0.34586083924315</v>
      </c>
      <c r="J4" s="14" t="n">
        <v>0.367550155247418</v>
      </c>
      <c r="K4" s="12" t="s">
        <v>33</v>
      </c>
      <c r="L4" s="15" t="n">
        <v>857</v>
      </c>
      <c r="M4" s="15" t="n">
        <v>5</v>
      </c>
    </row>
    <row r="5" customFormat="false" ht="15" hidden="false" customHeight="false" outlineLevel="0" collapsed="false">
      <c r="A5" s="12" t="s">
        <v>38</v>
      </c>
      <c r="B5" s="7" t="s">
        <v>39</v>
      </c>
      <c r="C5" s="12" t="s">
        <v>30</v>
      </c>
      <c r="D5" s="7" t="s">
        <v>31</v>
      </c>
      <c r="E5" s="7" t="s">
        <v>40</v>
      </c>
      <c r="F5" s="12" t="n">
        <f aca="false">IF(D5=E5,1,0)</f>
        <v>0</v>
      </c>
      <c r="G5" s="13" t="n">
        <v>0</v>
      </c>
      <c r="H5" s="14" t="n">
        <v>0.313395230956932</v>
      </c>
      <c r="I5" s="14" t="n">
        <v>0.323987470665631</v>
      </c>
      <c r="J5" s="14" t="n">
        <v>0.362617298377437</v>
      </c>
      <c r="K5" s="12" t="s">
        <v>33</v>
      </c>
      <c r="L5" s="15" t="n">
        <v>857</v>
      </c>
      <c r="M5" s="15" t="n">
        <v>5</v>
      </c>
    </row>
    <row r="6" customFormat="false" ht="15" hidden="false" customHeight="false" outlineLevel="0" collapsed="false">
      <c r="A6" s="12" t="s">
        <v>41</v>
      </c>
      <c r="B6" s="7" t="s">
        <v>42</v>
      </c>
      <c r="C6" s="12" t="s">
        <v>30</v>
      </c>
      <c r="D6" s="7" t="s">
        <v>31</v>
      </c>
      <c r="E6" s="7" t="s">
        <v>32</v>
      </c>
      <c r="F6" s="12" t="n">
        <f aca="false">IF(D6=E6,1,0)</f>
        <v>0</v>
      </c>
      <c r="G6" s="13" t="n">
        <v>-0.0097799511002445</v>
      </c>
      <c r="H6" s="14" t="n">
        <v>0.289131046537867</v>
      </c>
      <c r="I6" s="14" t="n">
        <v>0.336541834429417</v>
      </c>
      <c r="J6" s="14" t="n">
        <v>0.374327119032716</v>
      </c>
      <c r="K6" s="12" t="s">
        <v>33</v>
      </c>
      <c r="L6" s="15" t="n">
        <v>857</v>
      </c>
      <c r="M6" s="15" t="n">
        <v>5</v>
      </c>
    </row>
    <row r="7" customFormat="false" ht="15" hidden="false" customHeight="false" outlineLevel="0" collapsed="false">
      <c r="A7" s="12" t="s">
        <v>43</v>
      </c>
      <c r="B7" s="7" t="s">
        <v>44</v>
      </c>
      <c r="C7" s="12" t="s">
        <v>30</v>
      </c>
      <c r="D7" s="7" t="s">
        <v>31</v>
      </c>
      <c r="E7" s="7" t="s">
        <v>40</v>
      </c>
      <c r="F7" s="12" t="n">
        <f aca="false">IF(D7=E7,1,0)</f>
        <v>0</v>
      </c>
      <c r="G7" s="13" t="n">
        <v>-0.0013908205841447</v>
      </c>
      <c r="H7" s="14" t="n">
        <v>0.289540139203484</v>
      </c>
      <c r="I7" s="14" t="n">
        <v>0.32995479785912</v>
      </c>
      <c r="J7" s="14" t="n">
        <v>0.380505062937396</v>
      </c>
      <c r="K7" s="12" t="s">
        <v>33</v>
      </c>
      <c r="L7" s="15" t="n">
        <v>857</v>
      </c>
      <c r="M7" s="15" t="n">
        <v>5</v>
      </c>
    </row>
    <row r="8" customFormat="false" ht="15" hidden="false" customHeight="false" outlineLevel="0" collapsed="false">
      <c r="A8" s="12" t="s">
        <v>28</v>
      </c>
      <c r="B8" s="7" t="s">
        <v>29</v>
      </c>
      <c r="C8" s="12" t="s">
        <v>45</v>
      </c>
      <c r="D8" s="7" t="s">
        <v>31</v>
      </c>
      <c r="E8" s="7" t="s">
        <v>31</v>
      </c>
      <c r="F8" s="12" t="n">
        <f aca="false">IF(D8=E8,1,0)</f>
        <v>1</v>
      </c>
      <c r="G8" s="13" t="n">
        <v>0.0594405594405593</v>
      </c>
      <c r="H8" s="14" t="n">
        <v>0.328278183247316</v>
      </c>
      <c r="I8" s="14" t="n">
        <v>0.325607000419488</v>
      </c>
      <c r="J8" s="14" t="n">
        <v>0.346114816333195</v>
      </c>
      <c r="K8" s="12" t="s">
        <v>33</v>
      </c>
      <c r="L8" s="15" t="n">
        <v>857</v>
      </c>
      <c r="M8" s="15" t="n">
        <v>5</v>
      </c>
    </row>
    <row r="9" customFormat="false" ht="15" hidden="false" customHeight="false" outlineLevel="0" collapsed="false">
      <c r="A9" s="12" t="s">
        <v>34</v>
      </c>
      <c r="B9" s="7" t="s">
        <v>35</v>
      </c>
      <c r="C9" s="12" t="s">
        <v>45</v>
      </c>
      <c r="D9" s="7" t="s">
        <v>40</v>
      </c>
      <c r="E9" s="7" t="s">
        <v>32</v>
      </c>
      <c r="F9" s="12" t="n">
        <f aca="false">IF(D9=E9,1,0)</f>
        <v>0</v>
      </c>
      <c r="G9" s="13" t="n">
        <v>-0.005181347150259</v>
      </c>
      <c r="H9" s="14" t="n">
        <v>0.303589633842899</v>
      </c>
      <c r="I9" s="14" t="n">
        <v>0.370169435710819</v>
      </c>
      <c r="J9" s="14" t="n">
        <v>0.326240930446282</v>
      </c>
      <c r="K9" s="12" t="s">
        <v>33</v>
      </c>
      <c r="L9" s="15" t="n">
        <v>857</v>
      </c>
      <c r="M9" s="15" t="n">
        <v>5</v>
      </c>
    </row>
    <row r="10" customFormat="false" ht="15" hidden="false" customHeight="false" outlineLevel="0" collapsed="false">
      <c r="A10" s="12" t="s">
        <v>36</v>
      </c>
      <c r="B10" s="7" t="s">
        <v>37</v>
      </c>
      <c r="C10" s="12" t="s">
        <v>45</v>
      </c>
      <c r="D10" s="7" t="s">
        <v>40</v>
      </c>
      <c r="E10" s="7" t="s">
        <v>31</v>
      </c>
      <c r="F10" s="12" t="n">
        <f aca="false">IF(D10=E10,1,0)</f>
        <v>0</v>
      </c>
      <c r="G10" s="13" t="n">
        <v>0.0276243093922652</v>
      </c>
      <c r="H10" s="14" t="n">
        <v>0.303589633842899</v>
      </c>
      <c r="I10" s="14" t="n">
        <v>0.370169435710819</v>
      </c>
      <c r="J10" s="14" t="n">
        <v>0.326240930446282</v>
      </c>
      <c r="K10" s="12" t="s">
        <v>33</v>
      </c>
      <c r="L10" s="15" t="n">
        <v>857</v>
      </c>
      <c r="M10" s="15" t="n">
        <v>5</v>
      </c>
    </row>
    <row r="11" customFormat="false" ht="15" hidden="false" customHeight="false" outlineLevel="0" collapsed="false">
      <c r="A11" s="12" t="s">
        <v>38</v>
      </c>
      <c r="B11" s="7" t="s">
        <v>39</v>
      </c>
      <c r="C11" s="12" t="s">
        <v>45</v>
      </c>
      <c r="D11" s="7" t="s">
        <v>31</v>
      </c>
      <c r="E11" s="7" t="s">
        <v>40</v>
      </c>
      <c r="F11" s="12" t="n">
        <f aca="false">IF(D11=E11,1,0)</f>
        <v>0</v>
      </c>
      <c r="G11" s="13" t="n">
        <v>0.0034129692832765</v>
      </c>
      <c r="H11" s="14" t="n">
        <v>0.301053143490875</v>
      </c>
      <c r="I11" s="14" t="n">
        <v>0.326364752353755</v>
      </c>
      <c r="J11" s="14" t="n">
        <v>0.37258210415537</v>
      </c>
      <c r="K11" s="12" t="s">
        <v>33</v>
      </c>
      <c r="L11" s="15" t="n">
        <v>857</v>
      </c>
      <c r="M11" s="15" t="n">
        <v>5</v>
      </c>
    </row>
    <row r="12" customFormat="false" ht="15" hidden="false" customHeight="false" outlineLevel="0" collapsed="false">
      <c r="A12" s="12" t="s">
        <v>41</v>
      </c>
      <c r="B12" s="7" t="s">
        <v>42</v>
      </c>
      <c r="C12" s="12" t="s">
        <v>45</v>
      </c>
      <c r="D12" s="7" t="s">
        <v>40</v>
      </c>
      <c r="E12" s="7" t="s">
        <v>40</v>
      </c>
      <c r="F12" s="12" t="n">
        <f aca="false">IF(D12=E12,1,0)</f>
        <v>1</v>
      </c>
      <c r="G12" s="13" t="n">
        <v>0.0024691358024691</v>
      </c>
      <c r="H12" s="14" t="n">
        <v>0.309914960668899</v>
      </c>
      <c r="I12" s="14" t="n">
        <v>0.350177156183439</v>
      </c>
      <c r="J12" s="14" t="n">
        <v>0.339907883147662</v>
      </c>
      <c r="K12" s="12" t="s">
        <v>33</v>
      </c>
      <c r="L12" s="15" t="n">
        <v>857</v>
      </c>
      <c r="M12" s="15" t="n">
        <v>5</v>
      </c>
    </row>
    <row r="13" customFormat="false" ht="15" hidden="false" customHeight="false" outlineLevel="0" collapsed="false">
      <c r="A13" s="12" t="s">
        <v>43</v>
      </c>
      <c r="B13" s="7" t="s">
        <v>44</v>
      </c>
      <c r="C13" s="12" t="s">
        <v>45</v>
      </c>
      <c r="D13" s="7" t="s">
        <v>31</v>
      </c>
      <c r="E13" s="7" t="s">
        <v>40</v>
      </c>
      <c r="F13" s="12" t="n">
        <f aca="false">IF(D13=E13,1,0)</f>
        <v>0</v>
      </c>
      <c r="G13" s="13" t="n">
        <v>0.0013927576601673</v>
      </c>
      <c r="H13" s="14" t="n">
        <v>0.305871700928965</v>
      </c>
      <c r="I13" s="14" t="n">
        <v>0.332369010811537</v>
      </c>
      <c r="J13" s="14" t="n">
        <v>0.361759288259498</v>
      </c>
      <c r="K13" s="12" t="s">
        <v>33</v>
      </c>
      <c r="L13" s="15" t="n">
        <v>857</v>
      </c>
      <c r="M13" s="15" t="n">
        <v>5</v>
      </c>
    </row>
    <row r="14" customFormat="false" ht="15" hidden="false" customHeight="false" outlineLevel="0" collapsed="false">
      <c r="A14" s="12" t="s">
        <v>28</v>
      </c>
      <c r="B14" s="7" t="s">
        <v>29</v>
      </c>
      <c r="C14" s="12" t="s">
        <v>46</v>
      </c>
      <c r="D14" s="7" t="s">
        <v>32</v>
      </c>
      <c r="E14" s="7" t="s">
        <v>31</v>
      </c>
      <c r="F14" s="12" t="n">
        <f aca="false">IF(D14=E14,1,0)</f>
        <v>0</v>
      </c>
      <c r="G14" s="13" t="n">
        <v>0.0990099009900991</v>
      </c>
      <c r="H14" s="14" t="n">
        <v>0.337856371150852</v>
      </c>
      <c r="I14" s="14" t="n">
        <v>0.327565082354823</v>
      </c>
      <c r="J14" s="14" t="n">
        <v>0.334578546494326</v>
      </c>
      <c r="K14" s="12" t="s">
        <v>33</v>
      </c>
      <c r="L14" s="15" t="n">
        <v>857</v>
      </c>
      <c r="M14" s="15" t="n">
        <v>5</v>
      </c>
    </row>
    <row r="15" customFormat="false" ht="15" hidden="false" customHeight="false" outlineLevel="0" collapsed="false">
      <c r="A15" s="12" t="s">
        <v>34</v>
      </c>
      <c r="B15" s="7" t="s">
        <v>35</v>
      </c>
      <c r="C15" s="12" t="s">
        <v>46</v>
      </c>
      <c r="D15" s="7" t="s">
        <v>31</v>
      </c>
      <c r="E15" s="7" t="s">
        <v>31</v>
      </c>
      <c r="F15" s="12" t="n">
        <f aca="false">IF(D15=E15,1,0)</f>
        <v>1</v>
      </c>
      <c r="G15" s="13" t="n">
        <v>0.0494791666666667</v>
      </c>
      <c r="H15" s="14" t="n">
        <v>0.309183530096187</v>
      </c>
      <c r="I15" s="14" t="n">
        <v>0.345253017144578</v>
      </c>
      <c r="J15" s="14" t="n">
        <v>0.345563452759235</v>
      </c>
      <c r="K15" s="12" t="s">
        <v>33</v>
      </c>
      <c r="L15" s="15" t="n">
        <v>857</v>
      </c>
      <c r="M15" s="15" t="n">
        <v>5</v>
      </c>
    </row>
    <row r="16" customFormat="false" ht="15" hidden="false" customHeight="false" outlineLevel="0" collapsed="false">
      <c r="A16" s="12" t="s">
        <v>36</v>
      </c>
      <c r="B16" s="7" t="s">
        <v>37</v>
      </c>
      <c r="C16" s="12" t="s">
        <v>46</v>
      </c>
      <c r="D16" s="7" t="s">
        <v>40</v>
      </c>
      <c r="E16" s="7" t="s">
        <v>31</v>
      </c>
      <c r="F16" s="12" t="n">
        <f aca="false">IF(D16=E16,1,0)</f>
        <v>0</v>
      </c>
      <c r="G16" s="13" t="n">
        <v>0.0483870967741935</v>
      </c>
      <c r="H16" s="14" t="n">
        <v>0.317428601603938</v>
      </c>
      <c r="I16" s="14" t="n">
        <v>0.351474317091112</v>
      </c>
      <c r="J16" s="14" t="n">
        <v>0.33109708130495</v>
      </c>
      <c r="K16" s="12" t="s">
        <v>33</v>
      </c>
      <c r="L16" s="15" t="n">
        <v>857</v>
      </c>
      <c r="M16" s="15" t="n">
        <v>5</v>
      </c>
    </row>
    <row r="17" customFormat="false" ht="15" hidden="false" customHeight="false" outlineLevel="0" collapsed="false">
      <c r="A17" s="12" t="s">
        <v>38</v>
      </c>
      <c r="B17" s="7" t="s">
        <v>39</v>
      </c>
      <c r="C17" s="12" t="s">
        <v>46</v>
      </c>
      <c r="D17" s="7" t="s">
        <v>40</v>
      </c>
      <c r="E17" s="7" t="s">
        <v>31</v>
      </c>
      <c r="F17" s="12" t="n">
        <f aca="false">IF(D17=E17,1,0)</f>
        <v>0</v>
      </c>
      <c r="G17" s="13" t="n">
        <v>0.0748299319727892</v>
      </c>
      <c r="H17" s="14" t="n">
        <v>0.322374730631769</v>
      </c>
      <c r="I17" s="14" t="n">
        <v>0.33884550550407</v>
      </c>
      <c r="J17" s="14" t="n">
        <v>0.33877976386416</v>
      </c>
      <c r="K17" s="12" t="s">
        <v>33</v>
      </c>
      <c r="L17" s="15" t="n">
        <v>857</v>
      </c>
      <c r="M17" s="15" t="n">
        <v>5</v>
      </c>
    </row>
    <row r="18" customFormat="false" ht="15" hidden="false" customHeight="false" outlineLevel="0" collapsed="false">
      <c r="A18" s="12" t="s">
        <v>41</v>
      </c>
      <c r="B18" s="7" t="s">
        <v>42</v>
      </c>
      <c r="C18" s="12" t="s">
        <v>46</v>
      </c>
      <c r="D18" s="7" t="s">
        <v>40</v>
      </c>
      <c r="E18" s="7" t="s">
        <v>40</v>
      </c>
      <c r="F18" s="12" t="n">
        <f aca="false">IF(D18=E18,1,0)</f>
        <v>1</v>
      </c>
      <c r="G18" s="13" t="n">
        <v>-0.0049261083743842</v>
      </c>
      <c r="H18" s="14" t="n">
        <v>0.327627687187073</v>
      </c>
      <c r="I18" s="14" t="n">
        <v>0.338197689334648</v>
      </c>
      <c r="J18" s="14" t="n">
        <v>0.33417462347828</v>
      </c>
      <c r="K18" s="12" t="s">
        <v>33</v>
      </c>
      <c r="L18" s="15" t="n">
        <v>857</v>
      </c>
      <c r="M18" s="15" t="n">
        <v>5</v>
      </c>
    </row>
    <row r="19" customFormat="false" ht="15" hidden="false" customHeight="false" outlineLevel="0" collapsed="false">
      <c r="A19" s="12" t="s">
        <v>43</v>
      </c>
      <c r="B19" s="7" t="s">
        <v>44</v>
      </c>
      <c r="C19" s="12" t="s">
        <v>46</v>
      </c>
      <c r="D19" s="7" t="s">
        <v>32</v>
      </c>
      <c r="E19" s="7" t="s">
        <v>31</v>
      </c>
      <c r="F19" s="12" t="n">
        <f aca="false">IF(D19=E19,1,0)</f>
        <v>0</v>
      </c>
      <c r="G19" s="13" t="n">
        <v>0.026425591098748</v>
      </c>
      <c r="H19" s="14" t="n">
        <v>0.342546738089966</v>
      </c>
      <c r="I19" s="14" t="n">
        <v>0.335458942127031</v>
      </c>
      <c r="J19" s="14" t="n">
        <v>0.321994319783003</v>
      </c>
      <c r="K19" s="12" t="s">
        <v>33</v>
      </c>
      <c r="L19" s="15" t="n">
        <v>857</v>
      </c>
      <c r="M19" s="15" t="n">
        <v>5</v>
      </c>
    </row>
    <row r="20" customFormat="false" ht="15" hidden="false" customHeight="false" outlineLevel="0" collapsed="false">
      <c r="A20" s="12" t="s">
        <v>28</v>
      </c>
      <c r="B20" s="7" t="s">
        <v>29</v>
      </c>
      <c r="C20" s="12" t="s">
        <v>47</v>
      </c>
      <c r="D20" s="7" t="s">
        <v>31</v>
      </c>
      <c r="E20" s="7" t="s">
        <v>32</v>
      </c>
      <c r="F20" s="12" t="n">
        <f aca="false">IF(D20=E20,1,0)</f>
        <v>0</v>
      </c>
      <c r="G20" s="13" t="n">
        <v>-0.0120120120120119</v>
      </c>
      <c r="H20" s="14" t="n">
        <v>0.320663120740636</v>
      </c>
      <c r="I20" s="14" t="n">
        <v>0.336021928970791</v>
      </c>
      <c r="J20" s="14" t="n">
        <v>0.343314950288573</v>
      </c>
      <c r="K20" s="12" t="s">
        <v>33</v>
      </c>
      <c r="L20" s="15" t="n">
        <v>857</v>
      </c>
      <c r="M20" s="15" t="n">
        <v>5</v>
      </c>
    </row>
    <row r="21" customFormat="false" ht="15" hidden="false" customHeight="false" outlineLevel="0" collapsed="false">
      <c r="A21" s="12" t="s">
        <v>34</v>
      </c>
      <c r="B21" s="7" t="s">
        <v>35</v>
      </c>
      <c r="C21" s="12" t="s">
        <v>47</v>
      </c>
      <c r="D21" s="7" t="s">
        <v>40</v>
      </c>
      <c r="E21" s="7" t="s">
        <v>32</v>
      </c>
      <c r="F21" s="12" t="n">
        <f aca="false">IF(D21=E21,1,0)</f>
        <v>0</v>
      </c>
      <c r="G21" s="13" t="n">
        <v>-0.0074441687344912</v>
      </c>
      <c r="H21" s="14" t="n">
        <v>0.315571766006221</v>
      </c>
      <c r="I21" s="14" t="n">
        <v>0.342931754866605</v>
      </c>
      <c r="J21" s="14" t="n">
        <v>0.341496479127174</v>
      </c>
      <c r="K21" s="12" t="s">
        <v>33</v>
      </c>
      <c r="L21" s="15" t="n">
        <v>857</v>
      </c>
      <c r="M21" s="15" t="n">
        <v>5</v>
      </c>
    </row>
    <row r="22" customFormat="false" ht="15" hidden="false" customHeight="false" outlineLevel="0" collapsed="false">
      <c r="A22" s="12" t="s">
        <v>36</v>
      </c>
      <c r="B22" s="7" t="s">
        <v>37</v>
      </c>
      <c r="C22" s="12" t="s">
        <v>47</v>
      </c>
      <c r="D22" s="7" t="s">
        <v>31</v>
      </c>
      <c r="E22" s="7" t="s">
        <v>40</v>
      </c>
      <c r="F22" s="12" t="n">
        <f aca="false">IF(D22=E22,1,0)</f>
        <v>0</v>
      </c>
      <c r="G22" s="13" t="n">
        <v>0.0025641025641025</v>
      </c>
      <c r="H22" s="14" t="n">
        <v>0.338565919709906</v>
      </c>
      <c r="I22" s="14" t="n">
        <v>0.305928672900828</v>
      </c>
      <c r="J22" s="14" t="n">
        <v>0.355505407389267</v>
      </c>
      <c r="K22" s="12" t="s">
        <v>33</v>
      </c>
      <c r="L22" s="15" t="n">
        <v>857</v>
      </c>
      <c r="M22" s="15" t="n">
        <v>5</v>
      </c>
    </row>
    <row r="23" customFormat="false" ht="15" hidden="false" customHeight="false" outlineLevel="0" collapsed="false">
      <c r="A23" s="12" t="s">
        <v>38</v>
      </c>
      <c r="B23" s="7" t="s">
        <v>39</v>
      </c>
      <c r="C23" s="12" t="s">
        <v>47</v>
      </c>
      <c r="D23" s="7" t="s">
        <v>31</v>
      </c>
      <c r="E23" s="7" t="s">
        <v>40</v>
      </c>
      <c r="F23" s="12" t="n">
        <f aca="false">IF(D23=E23,1,0)</f>
        <v>0</v>
      </c>
      <c r="G23" s="13" t="n">
        <v>-0.0031645569620253</v>
      </c>
      <c r="H23" s="14" t="n">
        <v>0.333561548275216</v>
      </c>
      <c r="I23" s="14" t="n">
        <v>0.319109746825768</v>
      </c>
      <c r="J23" s="14" t="n">
        <v>0.347328704899016</v>
      </c>
      <c r="K23" s="12" t="s">
        <v>33</v>
      </c>
      <c r="L23" s="15" t="n">
        <v>857</v>
      </c>
      <c r="M23" s="15" t="n">
        <v>5</v>
      </c>
    </row>
    <row r="24" customFormat="false" ht="15" hidden="false" customHeight="false" outlineLevel="0" collapsed="false">
      <c r="A24" s="12" t="s">
        <v>41</v>
      </c>
      <c r="B24" s="7" t="s">
        <v>42</v>
      </c>
      <c r="C24" s="12" t="s">
        <v>47</v>
      </c>
      <c r="D24" s="7" t="s">
        <v>40</v>
      </c>
      <c r="E24" s="7" t="s">
        <v>40</v>
      </c>
      <c r="F24" s="12" t="n">
        <f aca="false">IF(D24=E24,1,0)</f>
        <v>1</v>
      </c>
      <c r="G24" s="13" t="n">
        <v>0.0049504950495049</v>
      </c>
      <c r="H24" s="14" t="n">
        <v>0.333338155897818</v>
      </c>
      <c r="I24" s="14" t="n">
        <v>0.33526039710254</v>
      </c>
      <c r="J24" s="14" t="n">
        <v>0.331401446999642</v>
      </c>
      <c r="K24" s="12" t="s">
        <v>33</v>
      </c>
      <c r="L24" s="15" t="n">
        <v>857</v>
      </c>
      <c r="M24" s="15" t="n">
        <v>5</v>
      </c>
    </row>
    <row r="25" customFormat="false" ht="15" hidden="false" customHeight="false" outlineLevel="0" collapsed="false">
      <c r="A25" s="12" t="s">
        <v>43</v>
      </c>
      <c r="B25" s="7" t="s">
        <v>44</v>
      </c>
      <c r="C25" s="12" t="s">
        <v>47</v>
      </c>
      <c r="D25" s="7" t="s">
        <v>31</v>
      </c>
      <c r="E25" s="7" t="s">
        <v>40</v>
      </c>
      <c r="F25" s="12" t="n">
        <f aca="false">IF(D25=E25,1,0)</f>
        <v>0</v>
      </c>
      <c r="G25" s="13" t="n">
        <v>-0.002710027100271</v>
      </c>
      <c r="H25" s="14" t="n">
        <v>0.347019429370974</v>
      </c>
      <c r="I25" s="14" t="n">
        <v>0.30185829829059</v>
      </c>
      <c r="J25" s="14" t="n">
        <v>0.351122272338436</v>
      </c>
      <c r="K25" s="12" t="s">
        <v>33</v>
      </c>
      <c r="L25" s="15" t="n">
        <v>857</v>
      </c>
      <c r="M25" s="15" t="n">
        <v>5</v>
      </c>
    </row>
    <row r="26" customFormat="false" ht="15" hidden="false" customHeight="false" outlineLevel="0" collapsed="false">
      <c r="A26" s="12" t="s">
        <v>28</v>
      </c>
      <c r="B26" s="7" t="s">
        <v>29</v>
      </c>
      <c r="C26" s="12" t="s">
        <v>48</v>
      </c>
      <c r="D26" s="7" t="s">
        <v>31</v>
      </c>
      <c r="E26" s="7" t="s">
        <v>31</v>
      </c>
      <c r="F26" s="12" t="n">
        <f aca="false">IF(D26=E26,1,0)</f>
        <v>1</v>
      </c>
      <c r="G26" s="13" t="n">
        <v>0.0547112462006078</v>
      </c>
      <c r="H26" s="14" t="n">
        <v>0.322655984647376</v>
      </c>
      <c r="I26" s="14" t="n">
        <v>0.317386806937855</v>
      </c>
      <c r="J26" s="14" t="n">
        <v>0.35995720841477</v>
      </c>
      <c r="K26" s="12" t="s">
        <v>33</v>
      </c>
      <c r="L26" s="15" t="n">
        <v>857</v>
      </c>
      <c r="M26" s="15" t="n">
        <v>5</v>
      </c>
    </row>
    <row r="27" customFormat="false" ht="15" hidden="false" customHeight="false" outlineLevel="0" collapsed="false">
      <c r="A27" s="12" t="s">
        <v>34</v>
      </c>
      <c r="B27" s="7" t="s">
        <v>35</v>
      </c>
      <c r="C27" s="12" t="s">
        <v>48</v>
      </c>
      <c r="D27" s="7" t="s">
        <v>40</v>
      </c>
      <c r="E27" s="7" t="s">
        <v>40</v>
      </c>
      <c r="F27" s="12" t="n">
        <f aca="false">IF(D27=E27,1,0)</f>
        <v>1</v>
      </c>
      <c r="G27" s="13" t="n">
        <v>0.0024999999999999</v>
      </c>
      <c r="H27" s="14" t="n">
        <v>0.338390260987974</v>
      </c>
      <c r="I27" s="14" t="n">
        <v>0.345848224348583</v>
      </c>
      <c r="J27" s="14" t="n">
        <v>0.315761514663443</v>
      </c>
      <c r="K27" s="12" t="s">
        <v>33</v>
      </c>
      <c r="L27" s="15" t="n">
        <v>857</v>
      </c>
      <c r="M27" s="15" t="n">
        <v>5</v>
      </c>
    </row>
    <row r="28" customFormat="false" ht="15" hidden="false" customHeight="false" outlineLevel="0" collapsed="false">
      <c r="A28" s="12" t="s">
        <v>36</v>
      </c>
      <c r="B28" s="7" t="s">
        <v>37</v>
      </c>
      <c r="C28" s="12" t="s">
        <v>48</v>
      </c>
      <c r="D28" s="7" t="s">
        <v>32</v>
      </c>
      <c r="E28" s="7" t="s">
        <v>31</v>
      </c>
      <c r="F28" s="12" t="n">
        <f aca="false">IF(D28=E28,1,0)</f>
        <v>0</v>
      </c>
      <c r="G28" s="13" t="n">
        <v>0.0230179028132992</v>
      </c>
      <c r="H28" s="14" t="n">
        <v>0.338160211039252</v>
      </c>
      <c r="I28" s="14" t="n">
        <v>0.337074670968105</v>
      </c>
      <c r="J28" s="14" t="n">
        <v>0.324765117992643</v>
      </c>
      <c r="K28" s="12" t="s">
        <v>33</v>
      </c>
      <c r="L28" s="15" t="n">
        <v>857</v>
      </c>
      <c r="M28" s="15" t="n">
        <v>5</v>
      </c>
    </row>
    <row r="29" customFormat="false" ht="15" hidden="false" customHeight="false" outlineLevel="0" collapsed="false">
      <c r="A29" s="12" t="s">
        <v>38</v>
      </c>
      <c r="B29" s="7" t="s">
        <v>39</v>
      </c>
      <c r="C29" s="12" t="s">
        <v>48</v>
      </c>
      <c r="D29" s="7" t="s">
        <v>31</v>
      </c>
      <c r="E29" s="7" t="s">
        <v>40</v>
      </c>
      <c r="F29" s="12" t="n">
        <f aca="false">IF(D29=E29,1,0)</f>
        <v>0</v>
      </c>
      <c r="G29" s="13" t="n">
        <v>0</v>
      </c>
      <c r="H29" s="14" t="n">
        <v>0.326948272850946</v>
      </c>
      <c r="I29" s="14" t="n">
        <v>0.33051329145744</v>
      </c>
      <c r="J29" s="14" t="n">
        <v>0.342538435691614</v>
      </c>
      <c r="K29" s="12" t="s">
        <v>33</v>
      </c>
      <c r="L29" s="15" t="n">
        <v>857</v>
      </c>
      <c r="M29" s="15" t="n">
        <v>5</v>
      </c>
    </row>
    <row r="30" customFormat="false" ht="15" hidden="false" customHeight="false" outlineLevel="0" collapsed="false">
      <c r="A30" s="12" t="s">
        <v>41</v>
      </c>
      <c r="B30" s="7" t="s">
        <v>42</v>
      </c>
      <c r="C30" s="12" t="s">
        <v>48</v>
      </c>
      <c r="D30" s="7" t="s">
        <v>40</v>
      </c>
      <c r="E30" s="7" t="s">
        <v>40</v>
      </c>
      <c r="F30" s="12" t="n">
        <f aca="false">IF(D30=E30,1,0)</f>
        <v>1</v>
      </c>
      <c r="G30" s="13" t="n">
        <v>-0.0024630541871921</v>
      </c>
      <c r="H30" s="14" t="n">
        <v>0.338313545597294</v>
      </c>
      <c r="I30" s="14" t="n">
        <v>0.343080152423798</v>
      </c>
      <c r="J30" s="14" t="n">
        <v>0.318606301978908</v>
      </c>
      <c r="K30" s="12" t="s">
        <v>33</v>
      </c>
      <c r="L30" s="15" t="n">
        <v>857</v>
      </c>
      <c r="M30" s="15" t="n">
        <v>5</v>
      </c>
    </row>
    <row r="31" customFormat="false" ht="15" hidden="false" customHeight="false" outlineLevel="0" collapsed="false">
      <c r="A31" s="12" t="s">
        <v>43</v>
      </c>
      <c r="B31" s="7" t="s">
        <v>44</v>
      </c>
      <c r="C31" s="12" t="s">
        <v>48</v>
      </c>
      <c r="D31" s="7" t="s">
        <v>31</v>
      </c>
      <c r="E31" s="7" t="s">
        <v>32</v>
      </c>
      <c r="F31" s="12" t="n">
        <f aca="false">IF(D31=E31,1,0)</f>
        <v>0</v>
      </c>
      <c r="G31" s="13" t="n">
        <v>-0.0095108695652171</v>
      </c>
      <c r="H31" s="14" t="n">
        <v>0.334829194504504</v>
      </c>
      <c r="I31" s="14" t="n">
        <v>0.320486272367749</v>
      </c>
      <c r="J31" s="14" t="n">
        <v>0.344684533127746</v>
      </c>
      <c r="K31" s="12" t="s">
        <v>33</v>
      </c>
      <c r="L31" s="15" t="n">
        <v>857</v>
      </c>
      <c r="M31" s="15" t="n">
        <v>5</v>
      </c>
    </row>
    <row r="32" customFormat="false" ht="15" hidden="false" customHeight="false" outlineLevel="0" collapsed="false">
      <c r="A32" s="12" t="s">
        <v>28</v>
      </c>
      <c r="B32" s="7" t="s">
        <v>29</v>
      </c>
      <c r="C32" s="12" t="s">
        <v>49</v>
      </c>
      <c r="D32" s="7" t="s">
        <v>31</v>
      </c>
      <c r="E32" s="7" t="s">
        <v>40</v>
      </c>
      <c r="F32" s="12" t="n">
        <f aca="false">IF(D32=E32,1,0)</f>
        <v>0</v>
      </c>
      <c r="G32" s="13" t="n">
        <v>0.0028818443804035</v>
      </c>
      <c r="H32" s="14" t="n">
        <v>0.32599265738417</v>
      </c>
      <c r="I32" s="14" t="n">
        <v>0.332187865274861</v>
      </c>
      <c r="J32" s="14" t="n">
        <v>0.341819477340969</v>
      </c>
      <c r="K32" s="12" t="s">
        <v>33</v>
      </c>
      <c r="L32" s="15" t="n">
        <v>857</v>
      </c>
      <c r="M32" s="15" t="n">
        <v>5</v>
      </c>
    </row>
    <row r="33" customFormat="false" ht="15" hidden="false" customHeight="false" outlineLevel="0" collapsed="false">
      <c r="A33" s="12" t="s">
        <v>34</v>
      </c>
      <c r="B33" s="7" t="s">
        <v>35</v>
      </c>
      <c r="C33" s="12" t="s">
        <v>49</v>
      </c>
      <c r="D33" s="7" t="s">
        <v>40</v>
      </c>
      <c r="E33" s="7" t="s">
        <v>40</v>
      </c>
      <c r="F33" s="12" t="n">
        <f aca="false">IF(D33=E33,1,0)</f>
        <v>1</v>
      </c>
      <c r="G33" s="13" t="n">
        <v>-0.0024937655860348</v>
      </c>
      <c r="H33" s="14" t="n">
        <v>0.326212933694907</v>
      </c>
      <c r="I33" s="14" t="n">
        <v>0.345498323230853</v>
      </c>
      <c r="J33" s="14" t="n">
        <v>0.328288743074241</v>
      </c>
      <c r="K33" s="12" t="s">
        <v>33</v>
      </c>
      <c r="L33" s="15" t="n">
        <v>857</v>
      </c>
      <c r="M33" s="15" t="n">
        <v>5</v>
      </c>
    </row>
    <row r="34" customFormat="false" ht="15" hidden="false" customHeight="false" outlineLevel="0" collapsed="false">
      <c r="A34" s="12" t="s">
        <v>36</v>
      </c>
      <c r="B34" s="7" t="s">
        <v>37</v>
      </c>
      <c r="C34" s="12" t="s">
        <v>49</v>
      </c>
      <c r="D34" s="7" t="s">
        <v>32</v>
      </c>
      <c r="E34" s="7" t="s">
        <v>32</v>
      </c>
      <c r="F34" s="12" t="n">
        <f aca="false">IF(D34=E34,1,0)</f>
        <v>1</v>
      </c>
      <c r="G34" s="13" t="n">
        <v>-0.005</v>
      </c>
      <c r="H34" s="14" t="n">
        <v>0.343236598420933</v>
      </c>
      <c r="I34" s="14" t="n">
        <v>0.32532660843148</v>
      </c>
      <c r="J34" s="14" t="n">
        <v>0.331436793147588</v>
      </c>
      <c r="K34" s="12" t="s">
        <v>33</v>
      </c>
      <c r="L34" s="15" t="n">
        <v>857</v>
      </c>
      <c r="M34" s="15" t="n">
        <v>5</v>
      </c>
    </row>
    <row r="35" customFormat="false" ht="15" hidden="false" customHeight="false" outlineLevel="0" collapsed="false">
      <c r="A35" s="12" t="s">
        <v>38</v>
      </c>
      <c r="B35" s="7" t="s">
        <v>39</v>
      </c>
      <c r="C35" s="12" t="s">
        <v>49</v>
      </c>
      <c r="D35" s="7" t="s">
        <v>31</v>
      </c>
      <c r="E35" s="7" t="s">
        <v>31</v>
      </c>
      <c r="F35" s="12" t="n">
        <f aca="false">IF(D35=E35,1,0)</f>
        <v>1</v>
      </c>
      <c r="G35" s="13" t="n">
        <v>0.0285714285714284</v>
      </c>
      <c r="H35" s="14" t="n">
        <v>0.329046187007858</v>
      </c>
      <c r="I35" s="14" t="n">
        <v>0.332634081107589</v>
      </c>
      <c r="J35" s="14" t="n">
        <v>0.338319731884553</v>
      </c>
      <c r="K35" s="12" t="s">
        <v>33</v>
      </c>
      <c r="L35" s="15" t="n">
        <v>857</v>
      </c>
      <c r="M35" s="15" t="n">
        <v>5</v>
      </c>
    </row>
    <row r="36" customFormat="false" ht="15" hidden="false" customHeight="false" outlineLevel="0" collapsed="false">
      <c r="A36" s="12" t="s">
        <v>41</v>
      </c>
      <c r="B36" s="7" t="s">
        <v>42</v>
      </c>
      <c r="C36" s="12" t="s">
        <v>49</v>
      </c>
      <c r="D36" s="7" t="s">
        <v>31</v>
      </c>
      <c r="E36" s="7" t="s">
        <v>32</v>
      </c>
      <c r="F36" s="12" t="n">
        <f aca="false">IF(D36=E36,1,0)</f>
        <v>0</v>
      </c>
      <c r="G36" s="13" t="n">
        <v>-0.0123456790123457</v>
      </c>
      <c r="H36" s="14" t="n">
        <v>0.323917768508714</v>
      </c>
      <c r="I36" s="14" t="n">
        <v>0.3316028115527</v>
      </c>
      <c r="J36" s="14" t="n">
        <v>0.344479419938586</v>
      </c>
      <c r="K36" s="12" t="s">
        <v>33</v>
      </c>
      <c r="L36" s="15" t="n">
        <v>857</v>
      </c>
      <c r="M36" s="15" t="n">
        <v>5</v>
      </c>
    </row>
    <row r="37" customFormat="false" ht="15" hidden="false" customHeight="false" outlineLevel="0" collapsed="false">
      <c r="A37" s="12" t="s">
        <v>43</v>
      </c>
      <c r="B37" s="7" t="s">
        <v>44</v>
      </c>
      <c r="C37" s="12" t="s">
        <v>49</v>
      </c>
      <c r="D37" s="7" t="s">
        <v>32</v>
      </c>
      <c r="E37" s="7" t="s">
        <v>32</v>
      </c>
      <c r="F37" s="12" t="n">
        <f aca="false">IF(D37=E37,1,0)</f>
        <v>1</v>
      </c>
      <c r="G37" s="13" t="n">
        <v>-0.0123456790123457</v>
      </c>
      <c r="H37" s="14" t="n">
        <v>0.342754439174446</v>
      </c>
      <c r="I37" s="14" t="n">
        <v>0.337417998605851</v>
      </c>
      <c r="J37" s="14" t="n">
        <v>0.319827562219703</v>
      </c>
      <c r="K37" s="12" t="s">
        <v>33</v>
      </c>
      <c r="L37" s="15" t="n">
        <v>857</v>
      </c>
      <c r="M37" s="15" t="n">
        <v>5</v>
      </c>
    </row>
    <row r="38" customFormat="false" ht="15" hidden="false" customHeight="false" outlineLevel="0" collapsed="false">
      <c r="A38" s="12" t="s">
        <v>28</v>
      </c>
      <c r="B38" s="7" t="s">
        <v>29</v>
      </c>
      <c r="C38" s="12" t="s">
        <v>50</v>
      </c>
      <c r="D38" s="7" t="s">
        <v>40</v>
      </c>
      <c r="E38" s="7" t="s">
        <v>31</v>
      </c>
      <c r="F38" s="12" t="n">
        <f aca="false">IF(D38=E38,1,0)</f>
        <v>0</v>
      </c>
      <c r="G38" s="13" t="n">
        <v>0.0057471264367816</v>
      </c>
      <c r="H38" s="14" t="n">
        <v>0.327169000297072</v>
      </c>
      <c r="I38" s="14" t="n">
        <v>0.347288915484714</v>
      </c>
      <c r="J38" s="14" t="n">
        <v>0.325542084218214</v>
      </c>
      <c r="K38" s="12" t="s">
        <v>33</v>
      </c>
      <c r="L38" s="15" t="n">
        <v>857</v>
      </c>
      <c r="M38" s="15" t="n">
        <v>5</v>
      </c>
    </row>
    <row r="39" customFormat="false" ht="15" hidden="false" customHeight="false" outlineLevel="0" collapsed="false">
      <c r="A39" s="12" t="s">
        <v>34</v>
      </c>
      <c r="B39" s="7" t="s">
        <v>35</v>
      </c>
      <c r="C39" s="12" t="s">
        <v>50</v>
      </c>
      <c r="D39" s="7" t="s">
        <v>40</v>
      </c>
      <c r="E39" s="7" t="s">
        <v>31</v>
      </c>
      <c r="F39" s="12" t="n">
        <f aca="false">IF(D39=E39,1,0)</f>
        <v>0</v>
      </c>
      <c r="G39" s="13" t="n">
        <v>0.0375</v>
      </c>
      <c r="H39" s="14" t="n">
        <v>0.325848511702355</v>
      </c>
      <c r="I39" s="14" t="n">
        <v>0.351944235070283</v>
      </c>
      <c r="J39" s="14" t="n">
        <v>0.322207253227362</v>
      </c>
      <c r="K39" s="12" t="s">
        <v>33</v>
      </c>
      <c r="L39" s="15" t="n">
        <v>857</v>
      </c>
      <c r="M39" s="15" t="n">
        <v>5</v>
      </c>
    </row>
    <row r="40" customFormat="false" ht="15" hidden="false" customHeight="false" outlineLevel="0" collapsed="false">
      <c r="A40" s="12" t="s">
        <v>36</v>
      </c>
      <c r="B40" s="7" t="s">
        <v>37</v>
      </c>
      <c r="C40" s="12" t="s">
        <v>50</v>
      </c>
      <c r="D40" s="7" t="s">
        <v>32</v>
      </c>
      <c r="E40" s="7" t="s">
        <v>31</v>
      </c>
      <c r="F40" s="12" t="n">
        <f aca="false">IF(D40=E40,1,0)</f>
        <v>0</v>
      </c>
      <c r="G40" s="13" t="n">
        <v>0.0326633165829146</v>
      </c>
      <c r="H40" s="14" t="n">
        <v>0.365911881401979</v>
      </c>
      <c r="I40" s="14" t="n">
        <v>0.310539220342959</v>
      </c>
      <c r="J40" s="14" t="n">
        <v>0.323548898255062</v>
      </c>
      <c r="K40" s="12" t="s">
        <v>33</v>
      </c>
      <c r="L40" s="15" t="n">
        <v>857</v>
      </c>
      <c r="M40" s="15" t="n">
        <v>5</v>
      </c>
    </row>
    <row r="41" customFormat="false" ht="15" hidden="false" customHeight="false" outlineLevel="0" collapsed="false">
      <c r="A41" s="12" t="s">
        <v>38</v>
      </c>
      <c r="B41" s="7" t="s">
        <v>39</v>
      </c>
      <c r="C41" s="12" t="s">
        <v>50</v>
      </c>
      <c r="D41" s="7" t="s">
        <v>31</v>
      </c>
      <c r="E41" s="7" t="s">
        <v>31</v>
      </c>
      <c r="F41" s="12" t="n">
        <f aca="false">IF(D41=E41,1,0)</f>
        <v>1</v>
      </c>
      <c r="G41" s="13" t="n">
        <v>0.0617283950617284</v>
      </c>
      <c r="H41" s="14" t="n">
        <v>0.316040305109709</v>
      </c>
      <c r="I41" s="14" t="n">
        <v>0.33115432172923</v>
      </c>
      <c r="J41" s="14" t="n">
        <v>0.352805373161061</v>
      </c>
      <c r="K41" s="12" t="s">
        <v>33</v>
      </c>
      <c r="L41" s="15" t="n">
        <v>857</v>
      </c>
      <c r="M41" s="15" t="n">
        <v>5</v>
      </c>
    </row>
    <row r="42" customFormat="false" ht="15" hidden="false" customHeight="false" outlineLevel="0" collapsed="false">
      <c r="A42" s="12" t="s">
        <v>41</v>
      </c>
      <c r="B42" s="7" t="s">
        <v>42</v>
      </c>
      <c r="C42" s="12" t="s">
        <v>50</v>
      </c>
      <c r="D42" s="7" t="s">
        <v>31</v>
      </c>
      <c r="E42" s="7" t="s">
        <v>40</v>
      </c>
      <c r="F42" s="12" t="n">
        <f aca="false">IF(D42=E42,1,0)</f>
        <v>0</v>
      </c>
      <c r="G42" s="13" t="n">
        <v>0.0049999999999998</v>
      </c>
      <c r="H42" s="14" t="n">
        <v>0.32510772569548</v>
      </c>
      <c r="I42" s="14" t="n">
        <v>0.33631391251881</v>
      </c>
      <c r="J42" s="14" t="n">
        <v>0.338578361785711</v>
      </c>
      <c r="K42" s="12" t="s">
        <v>33</v>
      </c>
      <c r="L42" s="15" t="n">
        <v>857</v>
      </c>
      <c r="M42" s="15" t="n">
        <v>5</v>
      </c>
    </row>
    <row r="43" customFormat="false" ht="15" hidden="false" customHeight="false" outlineLevel="0" collapsed="false">
      <c r="A43" s="12" t="s">
        <v>43</v>
      </c>
      <c r="B43" s="7" t="s">
        <v>44</v>
      </c>
      <c r="C43" s="12" t="s">
        <v>50</v>
      </c>
      <c r="D43" s="7" t="s">
        <v>32</v>
      </c>
      <c r="E43" s="7" t="s">
        <v>31</v>
      </c>
      <c r="F43" s="12" t="n">
        <f aca="false">IF(D43=E43,1,0)</f>
        <v>0</v>
      </c>
      <c r="G43" s="13" t="n">
        <v>0.0097222222222221</v>
      </c>
      <c r="H43" s="14" t="n">
        <v>0.361659655505506</v>
      </c>
      <c r="I43" s="14" t="n">
        <v>0.326542217585203</v>
      </c>
      <c r="J43" s="14" t="n">
        <v>0.311798126909291</v>
      </c>
      <c r="K43" s="12" t="s">
        <v>33</v>
      </c>
      <c r="L43" s="15" t="n">
        <v>857</v>
      </c>
      <c r="M43" s="15" t="n">
        <v>5</v>
      </c>
    </row>
    <row r="44" customFormat="false" ht="15" hidden="false" customHeight="false" outlineLevel="0" collapsed="false">
      <c r="A44" s="12" t="s">
        <v>28</v>
      </c>
      <c r="B44" s="7" t="s">
        <v>29</v>
      </c>
      <c r="C44" s="12" t="s">
        <v>51</v>
      </c>
      <c r="D44" s="7" t="s">
        <v>31</v>
      </c>
      <c r="E44" s="7" t="s">
        <v>31</v>
      </c>
      <c r="F44" s="12" t="n">
        <f aca="false">IF(D44=E44,1,0)</f>
        <v>1</v>
      </c>
      <c r="G44" s="13" t="n">
        <v>0.02</v>
      </c>
      <c r="H44" s="14" t="n">
        <v>0.309651511011184</v>
      </c>
      <c r="I44" s="14" t="n">
        <v>0.327449497392133</v>
      </c>
      <c r="J44" s="14" t="n">
        <v>0.362898991596683</v>
      </c>
      <c r="K44" s="12" t="s">
        <v>33</v>
      </c>
      <c r="L44" s="15" t="n">
        <v>857</v>
      </c>
      <c r="M44" s="15" t="n">
        <v>5</v>
      </c>
    </row>
    <row r="45" customFormat="false" ht="15" hidden="false" customHeight="false" outlineLevel="0" collapsed="false">
      <c r="A45" s="12" t="s">
        <v>34</v>
      </c>
      <c r="B45" s="7" t="s">
        <v>35</v>
      </c>
      <c r="C45" s="12" t="s">
        <v>51</v>
      </c>
      <c r="D45" s="7" t="s">
        <v>40</v>
      </c>
      <c r="E45" s="7" t="s">
        <v>40</v>
      </c>
      <c r="F45" s="12" t="n">
        <f aca="false">IF(D45=E45,1,0)</f>
        <v>1</v>
      </c>
      <c r="G45" s="13" t="n">
        <v>0</v>
      </c>
      <c r="H45" s="14" t="n">
        <v>0.328494812855362</v>
      </c>
      <c r="I45" s="14" t="n">
        <v>0.344204442230637</v>
      </c>
      <c r="J45" s="14" t="n">
        <v>0.327300744914001</v>
      </c>
      <c r="K45" s="12" t="s">
        <v>33</v>
      </c>
      <c r="L45" s="15" t="n">
        <v>857</v>
      </c>
      <c r="M45" s="15" t="n">
        <v>5</v>
      </c>
    </row>
    <row r="46" customFormat="false" ht="15" hidden="false" customHeight="false" outlineLevel="0" collapsed="false">
      <c r="A46" s="12" t="s">
        <v>36</v>
      </c>
      <c r="B46" s="7" t="s">
        <v>37</v>
      </c>
      <c r="C46" s="12" t="s">
        <v>51</v>
      </c>
      <c r="D46" s="7" t="s">
        <v>32</v>
      </c>
      <c r="E46" s="7" t="s">
        <v>31</v>
      </c>
      <c r="F46" s="12" t="n">
        <f aca="false">IF(D46=E46,1,0)</f>
        <v>0</v>
      </c>
      <c r="G46" s="13" t="n">
        <v>0.0121654501216545</v>
      </c>
      <c r="H46" s="14" t="n">
        <v>0.351585218903419</v>
      </c>
      <c r="I46" s="14" t="n">
        <v>0.314001641093541</v>
      </c>
      <c r="J46" s="14" t="n">
        <v>0.33441314000304</v>
      </c>
      <c r="K46" s="12" t="s">
        <v>33</v>
      </c>
      <c r="L46" s="15" t="n">
        <v>857</v>
      </c>
      <c r="M46" s="15" t="n">
        <v>5</v>
      </c>
    </row>
    <row r="47" customFormat="false" ht="15" hidden="false" customHeight="false" outlineLevel="0" collapsed="false">
      <c r="A47" s="12" t="s">
        <v>38</v>
      </c>
      <c r="B47" s="7" t="s">
        <v>39</v>
      </c>
      <c r="C47" s="12" t="s">
        <v>51</v>
      </c>
      <c r="D47" s="7" t="s">
        <v>31</v>
      </c>
      <c r="E47" s="7" t="s">
        <v>31</v>
      </c>
      <c r="F47" s="12" t="n">
        <f aca="false">IF(D47=E47,1,0)</f>
        <v>1</v>
      </c>
      <c r="G47" s="13" t="n">
        <v>0.0406976744186047</v>
      </c>
      <c r="H47" s="14" t="n">
        <v>0.324250958237748</v>
      </c>
      <c r="I47" s="14" t="n">
        <v>0.330184158274126</v>
      </c>
      <c r="J47" s="14" t="n">
        <v>0.345564883488126</v>
      </c>
      <c r="K47" s="12" t="s">
        <v>33</v>
      </c>
      <c r="L47" s="15" t="n">
        <v>857</v>
      </c>
      <c r="M47" s="15" t="n">
        <v>5</v>
      </c>
    </row>
    <row r="48" customFormat="false" ht="15" hidden="false" customHeight="false" outlineLevel="0" collapsed="false">
      <c r="A48" s="12" t="s">
        <v>41</v>
      </c>
      <c r="B48" s="7" t="s">
        <v>42</v>
      </c>
      <c r="C48" s="12" t="s">
        <v>51</v>
      </c>
      <c r="D48" s="7" t="s">
        <v>31</v>
      </c>
      <c r="E48" s="7" t="s">
        <v>31</v>
      </c>
      <c r="F48" s="12" t="n">
        <f aca="false">IF(D48=E48,1,0)</f>
        <v>1</v>
      </c>
      <c r="G48" s="13" t="n">
        <v>0.0099502487562188</v>
      </c>
      <c r="H48" s="14" t="n">
        <v>0.32371195314856</v>
      </c>
      <c r="I48" s="14" t="n">
        <v>0.334125196973653</v>
      </c>
      <c r="J48" s="14" t="n">
        <v>0.342162849877788</v>
      </c>
      <c r="K48" s="12" t="s">
        <v>33</v>
      </c>
      <c r="L48" s="15" t="n">
        <v>857</v>
      </c>
      <c r="M48" s="15" t="n">
        <v>5</v>
      </c>
    </row>
    <row r="49" customFormat="false" ht="15" hidden="false" customHeight="false" outlineLevel="0" collapsed="false">
      <c r="A49" s="12" t="s">
        <v>43</v>
      </c>
      <c r="B49" s="7" t="s">
        <v>44</v>
      </c>
      <c r="C49" s="12" t="s">
        <v>51</v>
      </c>
      <c r="D49" s="7" t="s">
        <v>32</v>
      </c>
      <c r="E49" s="7" t="s">
        <v>40</v>
      </c>
      <c r="F49" s="12" t="n">
        <f aca="false">IF(D49=E49,1,0)</f>
        <v>0</v>
      </c>
      <c r="G49" s="13" t="n">
        <v>0.0027510316368639</v>
      </c>
      <c r="H49" s="14" t="n">
        <v>0.364866265135309</v>
      </c>
      <c r="I49" s="14" t="n">
        <v>0.325528423104438</v>
      </c>
      <c r="J49" s="14" t="n">
        <v>0.309605311760253</v>
      </c>
      <c r="K49" s="12" t="s">
        <v>33</v>
      </c>
      <c r="L49" s="15" t="n">
        <v>857</v>
      </c>
      <c r="M49" s="15" t="n">
        <v>5</v>
      </c>
    </row>
    <row r="50" customFormat="false" ht="15" hidden="false" customHeight="false" outlineLevel="0" collapsed="false">
      <c r="A50" s="12" t="s">
        <v>28</v>
      </c>
      <c r="B50" s="7" t="s">
        <v>29</v>
      </c>
      <c r="C50" s="12" t="s">
        <v>52</v>
      </c>
      <c r="D50" s="7" t="s">
        <v>31</v>
      </c>
      <c r="E50" s="7" t="s">
        <v>31</v>
      </c>
      <c r="F50" s="12" t="n">
        <f aca="false">IF(D50=E50,1,0)</f>
        <v>1</v>
      </c>
      <c r="G50" s="13" t="n">
        <v>0.0336134453781513</v>
      </c>
      <c r="H50" s="14" t="n">
        <v>0.309651511011184</v>
      </c>
      <c r="I50" s="14" t="n">
        <v>0.327449497392133</v>
      </c>
      <c r="J50" s="14" t="n">
        <v>0.362898991596683</v>
      </c>
      <c r="K50" s="12" t="s">
        <v>33</v>
      </c>
      <c r="L50" s="15" t="n">
        <v>857</v>
      </c>
      <c r="M50" s="15" t="n">
        <v>5</v>
      </c>
    </row>
    <row r="51" customFormat="false" ht="15" hidden="false" customHeight="false" outlineLevel="0" collapsed="false">
      <c r="A51" s="12" t="s">
        <v>34</v>
      </c>
      <c r="B51" s="7" t="s">
        <v>35</v>
      </c>
      <c r="C51" s="12" t="s">
        <v>52</v>
      </c>
      <c r="D51" s="7" t="s">
        <v>31</v>
      </c>
      <c r="E51" s="7" t="s">
        <v>40</v>
      </c>
      <c r="F51" s="12" t="n">
        <f aca="false">IF(D51=E51,1,0)</f>
        <v>0</v>
      </c>
      <c r="G51" s="13" t="n">
        <v>-0.0024096385542168</v>
      </c>
      <c r="H51" s="14" t="n">
        <v>0.334770449651162</v>
      </c>
      <c r="I51" s="14" t="n">
        <v>0.314268637967892</v>
      </c>
      <c r="J51" s="14" t="n">
        <v>0.350960912380947</v>
      </c>
      <c r="K51" s="12" t="s">
        <v>33</v>
      </c>
      <c r="L51" s="15" t="n">
        <v>857</v>
      </c>
      <c r="M51" s="15" t="n">
        <v>5</v>
      </c>
    </row>
    <row r="52" customFormat="false" ht="15" hidden="false" customHeight="false" outlineLevel="0" collapsed="false">
      <c r="A52" s="12" t="s">
        <v>36</v>
      </c>
      <c r="B52" s="7" t="s">
        <v>37</v>
      </c>
      <c r="C52" s="12" t="s">
        <v>52</v>
      </c>
      <c r="D52" s="7" t="s">
        <v>32</v>
      </c>
      <c r="E52" s="7" t="s">
        <v>40</v>
      </c>
      <c r="F52" s="12" t="n">
        <f aca="false">IF(D52=E52,1,0)</f>
        <v>0</v>
      </c>
      <c r="G52" s="13" t="n">
        <v>0.0024038461538462</v>
      </c>
      <c r="H52" s="14" t="n">
        <v>0.347205651585109</v>
      </c>
      <c r="I52" s="14" t="n">
        <v>0.305933727479072</v>
      </c>
      <c r="J52" s="14" t="n">
        <v>0.34686062093582</v>
      </c>
      <c r="K52" s="12" t="s">
        <v>33</v>
      </c>
      <c r="L52" s="15" t="n">
        <v>857</v>
      </c>
      <c r="M52" s="15" t="n">
        <v>5</v>
      </c>
    </row>
    <row r="53" customFormat="false" ht="15" hidden="false" customHeight="false" outlineLevel="0" collapsed="false">
      <c r="A53" s="12" t="s">
        <v>38</v>
      </c>
      <c r="B53" s="7" t="s">
        <v>39</v>
      </c>
      <c r="C53" s="12" t="s">
        <v>52</v>
      </c>
      <c r="D53" s="7" t="s">
        <v>31</v>
      </c>
      <c r="E53" s="7" t="s">
        <v>31</v>
      </c>
      <c r="F53" s="12" t="n">
        <f aca="false">IF(D53=E53,1,0)</f>
        <v>1</v>
      </c>
      <c r="G53" s="13" t="n">
        <v>0.058659217877095</v>
      </c>
      <c r="H53" s="14" t="n">
        <v>0.339321314067221</v>
      </c>
      <c r="I53" s="14" t="n">
        <v>0.303835481308941</v>
      </c>
      <c r="J53" s="14" t="n">
        <v>0.356843204623838</v>
      </c>
      <c r="K53" s="12" t="s">
        <v>33</v>
      </c>
      <c r="L53" s="15" t="n">
        <v>857</v>
      </c>
      <c r="M53" s="15" t="n">
        <v>5</v>
      </c>
    </row>
    <row r="54" customFormat="false" ht="15" hidden="false" customHeight="false" outlineLevel="0" collapsed="false">
      <c r="A54" s="12" t="s">
        <v>41</v>
      </c>
      <c r="B54" s="7" t="s">
        <v>42</v>
      </c>
      <c r="C54" s="12" t="s">
        <v>52</v>
      </c>
      <c r="D54" s="7" t="s">
        <v>40</v>
      </c>
      <c r="E54" s="7" t="s">
        <v>32</v>
      </c>
      <c r="F54" s="12" t="n">
        <f aca="false">IF(D54=E54,1,0)</f>
        <v>0</v>
      </c>
      <c r="G54" s="13" t="n">
        <v>-0.0073891625615764</v>
      </c>
      <c r="H54" s="14" t="n">
        <v>0.329761776990256</v>
      </c>
      <c r="I54" s="14" t="n">
        <v>0.355574969787093</v>
      </c>
      <c r="J54" s="14" t="n">
        <v>0.314663253222651</v>
      </c>
      <c r="K54" s="12" t="s">
        <v>33</v>
      </c>
      <c r="L54" s="15" t="n">
        <v>857</v>
      </c>
      <c r="M54" s="15" t="n">
        <v>5</v>
      </c>
    </row>
    <row r="55" customFormat="false" ht="15" hidden="false" customHeight="false" outlineLevel="0" collapsed="false">
      <c r="A55" s="12" t="s">
        <v>43</v>
      </c>
      <c r="B55" s="7" t="s">
        <v>44</v>
      </c>
      <c r="C55" s="12" t="s">
        <v>52</v>
      </c>
      <c r="D55" s="7" t="s">
        <v>31</v>
      </c>
      <c r="E55" s="7" t="s">
        <v>31</v>
      </c>
      <c r="F55" s="12" t="n">
        <f aca="false">IF(D55=E55,1,0)</f>
        <v>1</v>
      </c>
      <c r="G55" s="13" t="n">
        <v>0.0178326474622769</v>
      </c>
      <c r="H55" s="14" t="n">
        <v>0.330146652319719</v>
      </c>
      <c r="I55" s="14" t="n">
        <v>0.33277553190154</v>
      </c>
      <c r="J55" s="14" t="n">
        <v>0.337077815778741</v>
      </c>
      <c r="K55" s="12" t="s">
        <v>33</v>
      </c>
      <c r="L55" s="15" t="n">
        <v>857</v>
      </c>
      <c r="M55" s="15" t="n">
        <v>5</v>
      </c>
    </row>
    <row r="56" customFormat="false" ht="15" hidden="false" customHeight="false" outlineLevel="0" collapsed="false">
      <c r="A56" s="12" t="s">
        <v>28</v>
      </c>
      <c r="B56" s="7" t="s">
        <v>29</v>
      </c>
      <c r="C56" s="12" t="s">
        <v>53</v>
      </c>
      <c r="D56" s="7" t="s">
        <v>32</v>
      </c>
      <c r="E56" s="7" t="s">
        <v>40</v>
      </c>
      <c r="F56" s="12" t="n">
        <f aca="false">IF(D56=E56,1,0)</f>
        <v>0</v>
      </c>
      <c r="G56" s="13" t="n">
        <v>-0.002710027100271</v>
      </c>
      <c r="H56" s="14" t="n">
        <v>0.339064351641499</v>
      </c>
      <c r="I56" s="14" t="n">
        <v>0.327318794955707</v>
      </c>
      <c r="J56" s="14" t="n">
        <v>0.333616853402794</v>
      </c>
      <c r="K56" s="12" t="s">
        <v>33</v>
      </c>
      <c r="L56" s="15" t="n">
        <v>857</v>
      </c>
      <c r="M56" s="15" t="n">
        <v>5</v>
      </c>
    </row>
    <row r="57" customFormat="false" ht="15" hidden="false" customHeight="false" outlineLevel="0" collapsed="false">
      <c r="A57" s="12" t="s">
        <v>34</v>
      </c>
      <c r="B57" s="7" t="s">
        <v>35</v>
      </c>
      <c r="C57" s="12" t="s">
        <v>53</v>
      </c>
      <c r="D57" s="7" t="s">
        <v>32</v>
      </c>
      <c r="E57" s="7" t="s">
        <v>40</v>
      </c>
      <c r="F57" s="12" t="n">
        <f aca="false">IF(D57=E57,1,0)</f>
        <v>0</v>
      </c>
      <c r="G57" s="13" t="n">
        <v>-0.0048309178743961</v>
      </c>
      <c r="H57" s="14" t="n">
        <v>0.351896339284834</v>
      </c>
      <c r="I57" s="14" t="n">
        <v>0.326349923520404</v>
      </c>
      <c r="J57" s="14" t="n">
        <v>0.321753737194762</v>
      </c>
      <c r="K57" s="12" t="s">
        <v>33</v>
      </c>
      <c r="L57" s="15" t="n">
        <v>857</v>
      </c>
      <c r="M57" s="15" t="n">
        <v>5</v>
      </c>
    </row>
    <row r="58" customFormat="false" ht="15" hidden="false" customHeight="false" outlineLevel="0" collapsed="false">
      <c r="A58" s="12" t="s">
        <v>36</v>
      </c>
      <c r="B58" s="7" t="s">
        <v>37</v>
      </c>
      <c r="C58" s="12" t="s">
        <v>53</v>
      </c>
      <c r="D58" s="7" t="s">
        <v>32</v>
      </c>
      <c r="E58" s="7" t="s">
        <v>32</v>
      </c>
      <c r="F58" s="12" t="n">
        <f aca="false">IF(D58=E58,1,0)</f>
        <v>1</v>
      </c>
      <c r="G58" s="13" t="n">
        <v>-0.0263788968824939</v>
      </c>
      <c r="H58" s="14" t="n">
        <v>0.367182231949749</v>
      </c>
      <c r="I58" s="14" t="n">
        <v>0.306366316296143</v>
      </c>
      <c r="J58" s="14" t="n">
        <v>0.326451451754108</v>
      </c>
      <c r="K58" s="12" t="s">
        <v>33</v>
      </c>
      <c r="L58" s="15" t="n">
        <v>857</v>
      </c>
      <c r="M58" s="15" t="n">
        <v>5</v>
      </c>
    </row>
    <row r="59" customFormat="false" ht="15" hidden="false" customHeight="false" outlineLevel="0" collapsed="false">
      <c r="A59" s="12" t="s">
        <v>38</v>
      </c>
      <c r="B59" s="7" t="s">
        <v>39</v>
      </c>
      <c r="C59" s="12" t="s">
        <v>53</v>
      </c>
      <c r="D59" s="7" t="s">
        <v>31</v>
      </c>
      <c r="E59" s="7" t="s">
        <v>31</v>
      </c>
      <c r="F59" s="12" t="n">
        <f aca="false">IF(D59=E59,1,0)</f>
        <v>1</v>
      </c>
      <c r="G59" s="13" t="n">
        <v>0.0158311345646438</v>
      </c>
      <c r="H59" s="14" t="n">
        <v>0.338057757368059</v>
      </c>
      <c r="I59" s="14" t="n">
        <v>0.317588106991021</v>
      </c>
      <c r="J59" s="14" t="n">
        <v>0.344354135640921</v>
      </c>
      <c r="K59" s="12" t="s">
        <v>33</v>
      </c>
      <c r="L59" s="15" t="n">
        <v>857</v>
      </c>
      <c r="M59" s="15" t="n">
        <v>5</v>
      </c>
    </row>
    <row r="60" customFormat="false" ht="15" hidden="false" customHeight="false" outlineLevel="0" collapsed="false">
      <c r="A60" s="12" t="s">
        <v>41</v>
      </c>
      <c r="B60" s="7" t="s">
        <v>42</v>
      </c>
      <c r="C60" s="12" t="s">
        <v>53</v>
      </c>
      <c r="D60" s="7" t="s">
        <v>32</v>
      </c>
      <c r="E60" s="7" t="s">
        <v>32</v>
      </c>
      <c r="F60" s="12" t="n">
        <f aca="false">IF(D60=E60,1,0)</f>
        <v>1</v>
      </c>
      <c r="G60" s="13" t="n">
        <v>-0.0173697270471464</v>
      </c>
      <c r="H60" s="14" t="n">
        <v>0.351807479567004</v>
      </c>
      <c r="I60" s="14" t="n">
        <v>0.316435166645086</v>
      </c>
      <c r="J60" s="14" t="n">
        <v>0.331757353787911</v>
      </c>
      <c r="K60" s="12" t="s">
        <v>33</v>
      </c>
      <c r="L60" s="15" t="n">
        <v>857</v>
      </c>
      <c r="M60" s="15" t="n">
        <v>5</v>
      </c>
    </row>
    <row r="61" customFormat="false" ht="15" hidden="false" customHeight="false" outlineLevel="0" collapsed="false">
      <c r="A61" s="12" t="s">
        <v>43</v>
      </c>
      <c r="B61" s="7" t="s">
        <v>44</v>
      </c>
      <c r="C61" s="12" t="s">
        <v>53</v>
      </c>
      <c r="D61" s="7" t="s">
        <v>32</v>
      </c>
      <c r="E61" s="7" t="s">
        <v>31</v>
      </c>
      <c r="F61" s="12" t="n">
        <f aca="false">IF(D61=E61,1,0)</f>
        <v>0</v>
      </c>
      <c r="G61" s="13" t="n">
        <v>0.0107816711590296</v>
      </c>
      <c r="H61" s="14" t="n">
        <v>0.343356733087353</v>
      </c>
      <c r="I61" s="14" t="n">
        <v>0.314204566993545</v>
      </c>
      <c r="J61" s="14" t="n">
        <v>0.342438699919102</v>
      </c>
      <c r="K61" s="12" t="s">
        <v>33</v>
      </c>
      <c r="L61" s="15" t="n">
        <v>857</v>
      </c>
      <c r="M61" s="15" t="n">
        <v>5</v>
      </c>
    </row>
    <row r="62" customFormat="false" ht="15" hidden="false" customHeight="false" outlineLevel="0" collapsed="false">
      <c r="A62" s="12" t="s">
        <v>28</v>
      </c>
      <c r="B62" s="7" t="s">
        <v>29</v>
      </c>
      <c r="C62" s="12" t="s">
        <v>54</v>
      </c>
      <c r="D62" s="7" t="s">
        <v>32</v>
      </c>
      <c r="E62" s="7" t="s">
        <v>31</v>
      </c>
      <c r="F62" s="12" t="n">
        <f aca="false">IF(D62=E62,1,0)</f>
        <v>0</v>
      </c>
      <c r="G62" s="13" t="n">
        <v>0.0326086956521738</v>
      </c>
      <c r="H62" s="14" t="n">
        <v>0.344232578295979</v>
      </c>
      <c r="I62" s="14" t="n">
        <v>0.320431104740994</v>
      </c>
      <c r="J62" s="14" t="n">
        <v>0.335336316963026</v>
      </c>
      <c r="K62" s="12" t="s">
        <v>33</v>
      </c>
      <c r="L62" s="15" t="n">
        <v>857</v>
      </c>
      <c r="M62" s="15" t="n">
        <v>5</v>
      </c>
    </row>
    <row r="63" customFormat="false" ht="15" hidden="false" customHeight="false" outlineLevel="0" collapsed="false">
      <c r="A63" s="12" t="s">
        <v>34</v>
      </c>
      <c r="B63" s="7" t="s">
        <v>35</v>
      </c>
      <c r="C63" s="12" t="s">
        <v>54</v>
      </c>
      <c r="D63" s="7" t="s">
        <v>32</v>
      </c>
      <c r="E63" s="7" t="s">
        <v>31</v>
      </c>
      <c r="F63" s="12" t="n">
        <f aca="false">IF(D63=E63,1,0)</f>
        <v>0</v>
      </c>
      <c r="G63" s="13" t="n">
        <v>0.0072815533980583</v>
      </c>
      <c r="H63" s="14" t="n">
        <v>0.349931320077473</v>
      </c>
      <c r="I63" s="14" t="n">
        <v>0.330111643071147</v>
      </c>
      <c r="J63" s="14" t="n">
        <v>0.31995703685138</v>
      </c>
      <c r="K63" s="12" t="s">
        <v>33</v>
      </c>
      <c r="L63" s="15" t="n">
        <v>857</v>
      </c>
      <c r="M63" s="15" t="n">
        <v>5</v>
      </c>
    </row>
    <row r="64" customFormat="false" ht="15" hidden="false" customHeight="false" outlineLevel="0" collapsed="false">
      <c r="A64" s="12" t="s">
        <v>36</v>
      </c>
      <c r="B64" s="7" t="s">
        <v>37</v>
      </c>
      <c r="C64" s="12" t="s">
        <v>54</v>
      </c>
      <c r="D64" s="7" t="s">
        <v>32</v>
      </c>
      <c r="E64" s="7" t="s">
        <v>40</v>
      </c>
      <c r="F64" s="12" t="n">
        <f aca="false">IF(D64=E64,1,0)</f>
        <v>0</v>
      </c>
      <c r="G64" s="13" t="n">
        <v>-0.0024630541871921</v>
      </c>
      <c r="H64" s="14" t="n">
        <v>0.354091783163661</v>
      </c>
      <c r="I64" s="14" t="n">
        <v>0.301120938272173</v>
      </c>
      <c r="J64" s="14" t="n">
        <v>0.344787278564166</v>
      </c>
      <c r="K64" s="12" t="s">
        <v>33</v>
      </c>
      <c r="L64" s="15" t="n">
        <v>857</v>
      </c>
      <c r="M64" s="15" t="n">
        <v>5</v>
      </c>
    </row>
    <row r="65" customFormat="false" ht="15" hidden="false" customHeight="false" outlineLevel="0" collapsed="false">
      <c r="A65" s="12" t="s">
        <v>38</v>
      </c>
      <c r="B65" s="7" t="s">
        <v>39</v>
      </c>
      <c r="C65" s="12" t="s">
        <v>54</v>
      </c>
      <c r="D65" s="7" t="s">
        <v>31</v>
      </c>
      <c r="E65" s="7" t="s">
        <v>32</v>
      </c>
      <c r="F65" s="12" t="n">
        <f aca="false">IF(D65=E65,1,0)</f>
        <v>0</v>
      </c>
      <c r="G65" s="13" t="n">
        <v>-0.0129870129870129</v>
      </c>
      <c r="H65" s="14" t="n">
        <v>0.346045280951389</v>
      </c>
      <c r="I65" s="14" t="n">
        <v>0.302056810078188</v>
      </c>
      <c r="J65" s="14" t="n">
        <v>0.351897908970423</v>
      </c>
      <c r="K65" s="12" t="s">
        <v>33</v>
      </c>
      <c r="L65" s="15" t="n">
        <v>857</v>
      </c>
      <c r="M65" s="15" t="n">
        <v>5</v>
      </c>
    </row>
    <row r="66" customFormat="false" ht="15" hidden="false" customHeight="false" outlineLevel="0" collapsed="false">
      <c r="A66" s="12" t="s">
        <v>41</v>
      </c>
      <c r="B66" s="7" t="s">
        <v>42</v>
      </c>
      <c r="C66" s="12" t="s">
        <v>54</v>
      </c>
      <c r="D66" s="7" t="s">
        <v>32</v>
      </c>
      <c r="E66" s="7" t="s">
        <v>32</v>
      </c>
      <c r="F66" s="12" t="n">
        <f aca="false">IF(D66=E66,1,0)</f>
        <v>1</v>
      </c>
      <c r="G66" s="13" t="n">
        <v>-0.005050505050505</v>
      </c>
      <c r="H66" s="14" t="n">
        <v>0.362395388125167</v>
      </c>
      <c r="I66" s="14" t="n">
        <v>0.304975191828988</v>
      </c>
      <c r="J66" s="14" t="n">
        <v>0.332629420045845</v>
      </c>
      <c r="K66" s="12" t="s">
        <v>33</v>
      </c>
      <c r="L66" s="15" t="n">
        <v>857</v>
      </c>
      <c r="M66" s="15" t="n">
        <v>5</v>
      </c>
    </row>
    <row r="67" customFormat="false" ht="15" hidden="false" customHeight="false" outlineLevel="0" collapsed="false">
      <c r="A67" s="12" t="s">
        <v>43</v>
      </c>
      <c r="B67" s="7" t="s">
        <v>44</v>
      </c>
      <c r="C67" s="12" t="s">
        <v>54</v>
      </c>
      <c r="D67" s="7" t="s">
        <v>32</v>
      </c>
      <c r="E67" s="7" t="s">
        <v>32</v>
      </c>
      <c r="F67" s="12" t="n">
        <f aca="false">IF(D67=E67,1,0)</f>
        <v>1</v>
      </c>
      <c r="G67" s="13" t="n">
        <v>-0.0053333333333334</v>
      </c>
      <c r="H67" s="14" t="n">
        <v>0.341735638314007</v>
      </c>
      <c r="I67" s="14" t="n">
        <v>0.317442422217862</v>
      </c>
      <c r="J67" s="14" t="n">
        <v>0.340821939468131</v>
      </c>
      <c r="K67" s="12" t="s">
        <v>33</v>
      </c>
      <c r="L67" s="15" t="n">
        <v>857</v>
      </c>
      <c r="M67" s="15" t="n">
        <v>5</v>
      </c>
    </row>
    <row r="68" customFormat="false" ht="15" hidden="false" customHeight="false" outlineLevel="0" collapsed="false">
      <c r="A68" s="12" t="s">
        <v>28</v>
      </c>
      <c r="B68" s="7" t="s">
        <v>29</v>
      </c>
      <c r="C68" s="12" t="s">
        <v>55</v>
      </c>
      <c r="D68" s="7" t="s">
        <v>32</v>
      </c>
      <c r="E68" s="7" t="s">
        <v>31</v>
      </c>
      <c r="F68" s="12" t="n">
        <f aca="false">IF(D68=E68,1,0)</f>
        <v>0</v>
      </c>
      <c r="G68" s="13" t="n">
        <v>0.0605263157894737</v>
      </c>
      <c r="H68" s="14" t="n">
        <v>0.339547357462592</v>
      </c>
      <c r="I68" s="14" t="n">
        <v>0.330719935360617</v>
      </c>
      <c r="J68" s="14" t="n">
        <v>0.329732707176791</v>
      </c>
      <c r="K68" s="12" t="s">
        <v>33</v>
      </c>
      <c r="L68" s="15" t="n">
        <v>857</v>
      </c>
      <c r="M68" s="15" t="n">
        <v>5</v>
      </c>
    </row>
    <row r="69" customFormat="false" ht="15" hidden="false" customHeight="false" outlineLevel="0" collapsed="false">
      <c r="A69" s="12" t="s">
        <v>34</v>
      </c>
      <c r="B69" s="7" t="s">
        <v>35</v>
      </c>
      <c r="C69" s="12" t="s">
        <v>55</v>
      </c>
      <c r="D69" s="7" t="s">
        <v>32</v>
      </c>
      <c r="E69" s="7" t="s">
        <v>31</v>
      </c>
      <c r="F69" s="12" t="n">
        <f aca="false">IF(D69=E69,1,0)</f>
        <v>0</v>
      </c>
      <c r="G69" s="13" t="n">
        <v>0.0168674698795181</v>
      </c>
      <c r="H69" s="14" t="n">
        <v>0.344442070176156</v>
      </c>
      <c r="I69" s="14" t="n">
        <v>0.332450997968526</v>
      </c>
      <c r="J69" s="14" t="n">
        <v>0.323106931855317</v>
      </c>
      <c r="K69" s="12" t="s">
        <v>33</v>
      </c>
      <c r="L69" s="15" t="n">
        <v>857</v>
      </c>
      <c r="M69" s="15" t="n">
        <v>5</v>
      </c>
    </row>
    <row r="70" customFormat="false" ht="15" hidden="false" customHeight="false" outlineLevel="0" collapsed="false">
      <c r="A70" s="12" t="s">
        <v>36</v>
      </c>
      <c r="B70" s="7" t="s">
        <v>37</v>
      </c>
      <c r="C70" s="12" t="s">
        <v>55</v>
      </c>
      <c r="D70" s="7" t="s">
        <v>32</v>
      </c>
      <c r="E70" s="7" t="s">
        <v>31</v>
      </c>
      <c r="F70" s="12" t="n">
        <f aca="false">IF(D70=E70,1,0)</f>
        <v>0</v>
      </c>
      <c r="G70" s="13" t="n">
        <v>0.0123456790123457</v>
      </c>
      <c r="H70" s="14" t="n">
        <v>0.350741258640259</v>
      </c>
      <c r="I70" s="14" t="n">
        <v>0.320179760431143</v>
      </c>
      <c r="J70" s="14" t="n">
        <v>0.329078980928598</v>
      </c>
      <c r="K70" s="12" t="s">
        <v>33</v>
      </c>
      <c r="L70" s="15" t="n">
        <v>857</v>
      </c>
      <c r="M70" s="15" t="n">
        <v>5</v>
      </c>
    </row>
    <row r="71" customFormat="false" ht="15" hidden="false" customHeight="false" outlineLevel="0" collapsed="false">
      <c r="A71" s="12" t="s">
        <v>38</v>
      </c>
      <c r="B71" s="7" t="s">
        <v>39</v>
      </c>
      <c r="C71" s="12" t="s">
        <v>55</v>
      </c>
      <c r="D71" s="7" t="s">
        <v>31</v>
      </c>
      <c r="E71" s="7" t="s">
        <v>31</v>
      </c>
      <c r="F71" s="12" t="n">
        <f aca="false">IF(D71=E71,1,0)</f>
        <v>1</v>
      </c>
      <c r="G71" s="13" t="n">
        <v>0.1</v>
      </c>
      <c r="H71" s="14" t="n">
        <v>0.323177146126225</v>
      </c>
      <c r="I71" s="14" t="n">
        <v>0.309943323883649</v>
      </c>
      <c r="J71" s="14" t="n">
        <v>0.366879529990126</v>
      </c>
      <c r="K71" s="12" t="s">
        <v>33</v>
      </c>
      <c r="L71" s="15" t="n">
        <v>857</v>
      </c>
      <c r="M71" s="15" t="n">
        <v>5</v>
      </c>
    </row>
    <row r="72" customFormat="false" ht="15" hidden="false" customHeight="false" outlineLevel="0" collapsed="false">
      <c r="A72" s="12" t="s">
        <v>41</v>
      </c>
      <c r="B72" s="7" t="s">
        <v>42</v>
      </c>
      <c r="C72" s="12" t="s">
        <v>55</v>
      </c>
      <c r="D72" s="7" t="s">
        <v>31</v>
      </c>
      <c r="E72" s="7" t="s">
        <v>31</v>
      </c>
      <c r="F72" s="12" t="n">
        <f aca="false">IF(D72=E72,1,0)</f>
        <v>1</v>
      </c>
      <c r="G72" s="13" t="n">
        <v>0.0228426395939085</v>
      </c>
      <c r="H72" s="14" t="n">
        <v>0.306672491800941</v>
      </c>
      <c r="I72" s="14" t="n">
        <v>0.336352131131386</v>
      </c>
      <c r="J72" s="14" t="n">
        <v>0.356975377067673</v>
      </c>
      <c r="K72" s="12" t="s">
        <v>33</v>
      </c>
      <c r="L72" s="15" t="n">
        <v>857</v>
      </c>
      <c r="M72" s="15" t="n">
        <v>5</v>
      </c>
    </row>
    <row r="73" customFormat="false" ht="15" hidden="false" customHeight="false" outlineLevel="0" collapsed="false">
      <c r="A73" s="12" t="s">
        <v>43</v>
      </c>
      <c r="B73" s="7" t="s">
        <v>44</v>
      </c>
      <c r="C73" s="12" t="s">
        <v>55</v>
      </c>
      <c r="D73" s="7" t="s">
        <v>40</v>
      </c>
      <c r="E73" s="7" t="s">
        <v>31</v>
      </c>
      <c r="F73" s="12" t="n">
        <f aca="false">IF(D73=E73,1,0)</f>
        <v>0</v>
      </c>
      <c r="G73" s="13" t="n">
        <v>0.0120643431635389</v>
      </c>
      <c r="H73" s="14" t="n">
        <v>0.33654350525147</v>
      </c>
      <c r="I73" s="14" t="n">
        <v>0.336671225164685</v>
      </c>
      <c r="J73" s="14" t="n">
        <v>0.326785269583845</v>
      </c>
      <c r="K73" s="12" t="s">
        <v>33</v>
      </c>
      <c r="L73" s="15" t="n">
        <v>857</v>
      </c>
      <c r="M73" s="15" t="n">
        <v>5</v>
      </c>
    </row>
    <row r="74" customFormat="false" ht="15" hidden="false" customHeight="false" outlineLevel="0" collapsed="false">
      <c r="A74" s="12" t="s">
        <v>28</v>
      </c>
      <c r="B74" s="7" t="s">
        <v>29</v>
      </c>
      <c r="C74" s="12" t="s">
        <v>56</v>
      </c>
      <c r="D74" s="7" t="s">
        <v>31</v>
      </c>
      <c r="E74" s="7" t="s">
        <v>40</v>
      </c>
      <c r="F74" s="12" t="n">
        <f aca="false">IF(D74=E74,1,0)</f>
        <v>0</v>
      </c>
      <c r="G74" s="13" t="n">
        <v>0</v>
      </c>
      <c r="H74" s="14" t="n">
        <v>0.32695696795097</v>
      </c>
      <c r="I74" s="14" t="n">
        <v>0.333639422232974</v>
      </c>
      <c r="J74" s="14" t="n">
        <v>0.339403609816056</v>
      </c>
      <c r="K74" s="12" t="s">
        <v>33</v>
      </c>
      <c r="L74" s="15" t="n">
        <v>857</v>
      </c>
      <c r="M74" s="15" t="n">
        <v>5</v>
      </c>
    </row>
    <row r="75" customFormat="false" ht="15" hidden="false" customHeight="false" outlineLevel="0" collapsed="false">
      <c r="A75" s="12" t="s">
        <v>34</v>
      </c>
      <c r="B75" s="7" t="s">
        <v>35</v>
      </c>
      <c r="C75" s="12" t="s">
        <v>56</v>
      </c>
      <c r="D75" s="7" t="s">
        <v>31</v>
      </c>
      <c r="E75" s="7" t="s">
        <v>31</v>
      </c>
      <c r="F75" s="12" t="n">
        <f aca="false">IF(D75=E75,1,0)</f>
        <v>1</v>
      </c>
      <c r="G75" s="13" t="n">
        <v>0.04739336492891</v>
      </c>
      <c r="H75" s="14" t="n">
        <v>0.334666183692258</v>
      </c>
      <c r="I75" s="14" t="n">
        <v>0.319285107993494</v>
      </c>
      <c r="J75" s="14" t="n">
        <v>0.346048708314248</v>
      </c>
      <c r="K75" s="12" t="s">
        <v>33</v>
      </c>
      <c r="L75" s="15" t="n">
        <v>857</v>
      </c>
      <c r="M75" s="15" t="n">
        <v>5</v>
      </c>
    </row>
    <row r="76" customFormat="false" ht="15" hidden="false" customHeight="false" outlineLevel="0" collapsed="false">
      <c r="A76" s="12" t="s">
        <v>36</v>
      </c>
      <c r="B76" s="7" t="s">
        <v>37</v>
      </c>
      <c r="C76" s="12" t="s">
        <v>56</v>
      </c>
      <c r="D76" s="7" t="s">
        <v>31</v>
      </c>
      <c r="E76" s="7" t="s">
        <v>40</v>
      </c>
      <c r="F76" s="12" t="n">
        <f aca="false">IF(D76=E76,1,0)</f>
        <v>0</v>
      </c>
      <c r="G76" s="13" t="n">
        <v>0</v>
      </c>
      <c r="H76" s="14" t="n">
        <v>0.320925956751309</v>
      </c>
      <c r="I76" s="14" t="n">
        <v>0.322094969552788</v>
      </c>
      <c r="J76" s="14" t="n">
        <v>0.356979073695904</v>
      </c>
      <c r="K76" s="12" t="s">
        <v>33</v>
      </c>
      <c r="L76" s="15" t="n">
        <v>857</v>
      </c>
      <c r="M76" s="15" t="n">
        <v>5</v>
      </c>
    </row>
    <row r="77" customFormat="false" ht="15" hidden="false" customHeight="false" outlineLevel="0" collapsed="false">
      <c r="A77" s="12" t="s">
        <v>38</v>
      </c>
      <c r="B77" s="7" t="s">
        <v>39</v>
      </c>
      <c r="C77" s="12" t="s">
        <v>56</v>
      </c>
      <c r="D77" s="7" t="s">
        <v>32</v>
      </c>
      <c r="E77" s="7" t="s">
        <v>31</v>
      </c>
      <c r="F77" s="12" t="n">
        <f aca="false">IF(D77=E77,1,0)</f>
        <v>0</v>
      </c>
      <c r="G77" s="13" t="n">
        <v>0.0980861244019137</v>
      </c>
      <c r="H77" s="14" t="n">
        <v>0.344383537595595</v>
      </c>
      <c r="I77" s="14" t="n">
        <v>0.322858335742752</v>
      </c>
      <c r="J77" s="14" t="n">
        <v>0.332758126661653</v>
      </c>
      <c r="K77" s="12" t="s">
        <v>33</v>
      </c>
      <c r="L77" s="15" t="n">
        <v>857</v>
      </c>
      <c r="M77" s="15" t="n">
        <v>5</v>
      </c>
    </row>
    <row r="78" customFormat="false" ht="15" hidden="false" customHeight="false" outlineLevel="0" collapsed="false">
      <c r="A78" s="12" t="s">
        <v>41</v>
      </c>
      <c r="B78" s="7" t="s">
        <v>42</v>
      </c>
      <c r="C78" s="12" t="s">
        <v>56</v>
      </c>
      <c r="D78" s="7" t="s">
        <v>31</v>
      </c>
      <c r="E78" s="7" t="s">
        <v>40</v>
      </c>
      <c r="F78" s="12" t="n">
        <f aca="false">IF(D78=E78,1,0)</f>
        <v>0</v>
      </c>
      <c r="G78" s="13" t="n">
        <v>0.0024813895781636</v>
      </c>
      <c r="H78" s="14" t="n">
        <v>0.332222128499175</v>
      </c>
      <c r="I78" s="14" t="n">
        <v>0.331387828764129</v>
      </c>
      <c r="J78" s="14" t="n">
        <v>0.336390042736696</v>
      </c>
      <c r="K78" s="12" t="s">
        <v>33</v>
      </c>
      <c r="L78" s="15" t="n">
        <v>857</v>
      </c>
      <c r="M78" s="15" t="n">
        <v>5</v>
      </c>
    </row>
    <row r="79" customFormat="false" ht="15" hidden="false" customHeight="false" outlineLevel="0" collapsed="false">
      <c r="A79" s="12" t="s">
        <v>43</v>
      </c>
      <c r="B79" s="7" t="s">
        <v>44</v>
      </c>
      <c r="C79" s="12" t="s">
        <v>56</v>
      </c>
      <c r="D79" s="7" t="s">
        <v>32</v>
      </c>
      <c r="E79" s="7" t="s">
        <v>31</v>
      </c>
      <c r="F79" s="12" t="n">
        <f aca="false">IF(D79=E79,1,0)</f>
        <v>0</v>
      </c>
      <c r="G79" s="13" t="n">
        <v>0.005298013245033</v>
      </c>
      <c r="H79" s="14" t="n">
        <v>0.340421716461159</v>
      </c>
      <c r="I79" s="14" t="n">
        <v>0.324926533602819</v>
      </c>
      <c r="J79" s="14" t="n">
        <v>0.334651749936022</v>
      </c>
      <c r="K79" s="12" t="s">
        <v>33</v>
      </c>
      <c r="L79" s="15" t="n">
        <v>857</v>
      </c>
      <c r="M79" s="15" t="n">
        <v>5</v>
      </c>
    </row>
    <row r="80" customFormat="false" ht="15" hidden="false" customHeight="false" outlineLevel="0" collapsed="false">
      <c r="A80" s="12" t="s">
        <v>28</v>
      </c>
      <c r="B80" s="7" t="s">
        <v>29</v>
      </c>
      <c r="C80" s="12" t="s">
        <v>57</v>
      </c>
      <c r="D80" s="7" t="s">
        <v>31</v>
      </c>
      <c r="E80" s="7" t="s">
        <v>32</v>
      </c>
      <c r="F80" s="12" t="n">
        <f aca="false">IF(D80=E80,1,0)</f>
        <v>0</v>
      </c>
      <c r="G80" s="13" t="n">
        <v>-0.0173697270471464</v>
      </c>
      <c r="H80" s="14" t="n">
        <v>0.329164077602279</v>
      </c>
      <c r="I80" s="14" t="n">
        <v>0.323689694728331</v>
      </c>
      <c r="J80" s="14" t="n">
        <v>0.34714622766939</v>
      </c>
      <c r="K80" s="12" t="s">
        <v>33</v>
      </c>
      <c r="L80" s="15" t="n">
        <v>857</v>
      </c>
      <c r="M80" s="15" t="n">
        <v>5</v>
      </c>
    </row>
    <row r="81" customFormat="false" ht="15" hidden="false" customHeight="false" outlineLevel="0" collapsed="false">
      <c r="A81" s="12" t="s">
        <v>34</v>
      </c>
      <c r="B81" s="7" t="s">
        <v>35</v>
      </c>
      <c r="C81" s="12" t="s">
        <v>57</v>
      </c>
      <c r="D81" s="7" t="s">
        <v>32</v>
      </c>
      <c r="E81" s="7" t="s">
        <v>31</v>
      </c>
      <c r="F81" s="12" t="n">
        <f aca="false">IF(D81=E81,1,0)</f>
        <v>0</v>
      </c>
      <c r="G81" s="13" t="n">
        <v>0.0180995475113121</v>
      </c>
      <c r="H81" s="14" t="n">
        <v>0.34755584233712</v>
      </c>
      <c r="I81" s="14" t="n">
        <v>0.317840574875494</v>
      </c>
      <c r="J81" s="14" t="n">
        <v>0.334603582787386</v>
      </c>
      <c r="K81" s="12" t="s">
        <v>33</v>
      </c>
      <c r="L81" s="15" t="n">
        <v>857</v>
      </c>
      <c r="M81" s="15" t="n">
        <v>5</v>
      </c>
    </row>
    <row r="82" customFormat="false" ht="15" hidden="false" customHeight="false" outlineLevel="0" collapsed="false">
      <c r="A82" s="12" t="s">
        <v>36</v>
      </c>
      <c r="B82" s="7" t="s">
        <v>37</v>
      </c>
      <c r="C82" s="12" t="s">
        <v>57</v>
      </c>
      <c r="D82" s="7" t="s">
        <v>31</v>
      </c>
      <c r="E82" s="7" t="s">
        <v>31</v>
      </c>
      <c r="F82" s="12" t="n">
        <f aca="false">IF(D82=E82,1,0)</f>
        <v>1</v>
      </c>
      <c r="G82" s="13" t="n">
        <v>0.0146341463414634</v>
      </c>
      <c r="H82" s="14" t="n">
        <v>0.32599792100067</v>
      </c>
      <c r="I82" s="14" t="n">
        <v>0.334475082316362</v>
      </c>
      <c r="J82" s="14" t="n">
        <v>0.339526996682968</v>
      </c>
      <c r="K82" s="12" t="s">
        <v>33</v>
      </c>
      <c r="L82" s="15" t="n">
        <v>857</v>
      </c>
      <c r="M82" s="15" t="n">
        <v>5</v>
      </c>
    </row>
    <row r="83" customFormat="false" ht="15" hidden="false" customHeight="false" outlineLevel="0" collapsed="false">
      <c r="A83" s="12" t="s">
        <v>38</v>
      </c>
      <c r="B83" s="7" t="s">
        <v>39</v>
      </c>
      <c r="C83" s="12" t="s">
        <v>57</v>
      </c>
      <c r="D83" s="7" t="s">
        <v>32</v>
      </c>
      <c r="E83" s="7" t="s">
        <v>32</v>
      </c>
      <c r="F83" s="12" t="n">
        <f aca="false">IF(D83=E83,1,0)</f>
        <v>1</v>
      </c>
      <c r="G83" s="13" t="n">
        <v>-0.0348583877995642</v>
      </c>
      <c r="H83" s="14" t="n">
        <v>0.337319551993615</v>
      </c>
      <c r="I83" s="14" t="n">
        <v>0.336747846839043</v>
      </c>
      <c r="J83" s="14" t="n">
        <v>0.325932601167342</v>
      </c>
      <c r="K83" s="12" t="s">
        <v>33</v>
      </c>
      <c r="L83" s="15" t="n">
        <v>857</v>
      </c>
      <c r="M83" s="15" t="n">
        <v>5</v>
      </c>
    </row>
    <row r="84" customFormat="false" ht="15" hidden="false" customHeight="false" outlineLevel="0" collapsed="false">
      <c r="A84" s="12" t="s">
        <v>41</v>
      </c>
      <c r="B84" s="7" t="s">
        <v>42</v>
      </c>
      <c r="C84" s="12" t="s">
        <v>57</v>
      </c>
      <c r="D84" s="7" t="s">
        <v>40</v>
      </c>
      <c r="E84" s="7" t="s">
        <v>40</v>
      </c>
      <c r="F84" s="12" t="n">
        <f aca="false">IF(D84=E84,1,0)</f>
        <v>1</v>
      </c>
      <c r="G84" s="13" t="n">
        <v>-0.0049504950495049</v>
      </c>
      <c r="H84" s="14" t="n">
        <v>0.311207923124572</v>
      </c>
      <c r="I84" s="14" t="n">
        <v>0.357581674638655</v>
      </c>
      <c r="J84" s="14" t="n">
        <v>0.331210402236772</v>
      </c>
      <c r="K84" s="12" t="s">
        <v>33</v>
      </c>
      <c r="L84" s="15" t="n">
        <v>857</v>
      </c>
      <c r="M84" s="15" t="n">
        <v>5</v>
      </c>
    </row>
    <row r="85" customFormat="false" ht="15" hidden="false" customHeight="false" outlineLevel="0" collapsed="false">
      <c r="A85" s="12" t="s">
        <v>43</v>
      </c>
      <c r="B85" s="7" t="s">
        <v>44</v>
      </c>
      <c r="C85" s="12" t="s">
        <v>57</v>
      </c>
      <c r="D85" s="7" t="s">
        <v>31</v>
      </c>
      <c r="E85" s="7" t="s">
        <v>32</v>
      </c>
      <c r="F85" s="12" t="n">
        <f aca="false">IF(D85=E85,1,0)</f>
        <v>0</v>
      </c>
      <c r="G85" s="13" t="n">
        <v>-0.0144927536231884</v>
      </c>
      <c r="H85" s="14" t="n">
        <v>0.320409386015111</v>
      </c>
      <c r="I85" s="14" t="n">
        <v>0.337258132557129</v>
      </c>
      <c r="J85" s="14" t="n">
        <v>0.34233248142776</v>
      </c>
      <c r="K85" s="12" t="s">
        <v>33</v>
      </c>
      <c r="L85" s="15" t="n">
        <v>857</v>
      </c>
      <c r="M85" s="15" t="n">
        <v>5</v>
      </c>
    </row>
    <row r="86" customFormat="false" ht="15" hidden="false" customHeight="false" outlineLevel="0" collapsed="false">
      <c r="A86" s="12" t="s">
        <v>28</v>
      </c>
      <c r="B86" s="7" t="s">
        <v>29</v>
      </c>
      <c r="C86" s="12" t="s">
        <v>58</v>
      </c>
      <c r="D86" s="7" t="s">
        <v>31</v>
      </c>
      <c r="E86" s="7" t="s">
        <v>31</v>
      </c>
      <c r="F86" s="12" t="n">
        <f aca="false">IF(D86=E86,1,0)</f>
        <v>1</v>
      </c>
      <c r="G86" s="13" t="n">
        <v>0.047979797979798</v>
      </c>
      <c r="H86" s="14" t="n">
        <v>0.331855036322594</v>
      </c>
      <c r="I86" s="14" t="n">
        <v>0.311773049341232</v>
      </c>
      <c r="J86" s="14" t="n">
        <v>0.356371914336174</v>
      </c>
      <c r="K86" s="12" t="s">
        <v>33</v>
      </c>
      <c r="L86" s="15" t="n">
        <v>857</v>
      </c>
      <c r="M86" s="15" t="n">
        <v>5</v>
      </c>
    </row>
    <row r="87" customFormat="false" ht="15" hidden="false" customHeight="false" outlineLevel="0" collapsed="false">
      <c r="A87" s="12" t="s">
        <v>34</v>
      </c>
      <c r="B87" s="7" t="s">
        <v>35</v>
      </c>
      <c r="C87" s="12" t="s">
        <v>58</v>
      </c>
      <c r="D87" s="7" t="s">
        <v>31</v>
      </c>
      <c r="E87" s="7" t="s">
        <v>32</v>
      </c>
      <c r="F87" s="12" t="n">
        <f aca="false">IF(D87=E87,1,0)</f>
        <v>0</v>
      </c>
      <c r="G87" s="13" t="n">
        <v>-0.0155555555555555</v>
      </c>
      <c r="H87" s="14" t="n">
        <v>0.348243615229168</v>
      </c>
      <c r="I87" s="14" t="n">
        <v>0.295389305344139</v>
      </c>
      <c r="J87" s="14" t="n">
        <v>0.356367079426693</v>
      </c>
      <c r="K87" s="12" t="s">
        <v>33</v>
      </c>
      <c r="L87" s="15" t="n">
        <v>857</v>
      </c>
      <c r="M87" s="15" t="n">
        <v>5</v>
      </c>
    </row>
    <row r="88" customFormat="false" ht="15" hidden="false" customHeight="false" outlineLevel="0" collapsed="false">
      <c r="A88" s="12" t="s">
        <v>36</v>
      </c>
      <c r="B88" s="7" t="s">
        <v>37</v>
      </c>
      <c r="C88" s="12" t="s">
        <v>58</v>
      </c>
      <c r="D88" s="7" t="s">
        <v>31</v>
      </c>
      <c r="E88" s="7" t="s">
        <v>31</v>
      </c>
      <c r="F88" s="12" t="n">
        <f aca="false">IF(D88=E88,1,0)</f>
        <v>1</v>
      </c>
      <c r="G88" s="13" t="n">
        <v>0.0504807692307691</v>
      </c>
      <c r="H88" s="14" t="n">
        <v>0.336520037734207</v>
      </c>
      <c r="I88" s="14" t="n">
        <v>0.302523411794498</v>
      </c>
      <c r="J88" s="14" t="n">
        <v>0.360956550471295</v>
      </c>
      <c r="K88" s="12" t="s">
        <v>33</v>
      </c>
      <c r="L88" s="15" t="n">
        <v>857</v>
      </c>
      <c r="M88" s="15" t="n">
        <v>5</v>
      </c>
    </row>
    <row r="89" customFormat="false" ht="15" hidden="false" customHeight="false" outlineLevel="0" collapsed="false">
      <c r="A89" s="12" t="s">
        <v>38</v>
      </c>
      <c r="B89" s="7" t="s">
        <v>39</v>
      </c>
      <c r="C89" s="12" t="s">
        <v>58</v>
      </c>
      <c r="D89" s="7" t="s">
        <v>31</v>
      </c>
      <c r="E89" s="7" t="s">
        <v>31</v>
      </c>
      <c r="F89" s="12" t="n">
        <f aca="false">IF(D89=E89,1,0)</f>
        <v>1</v>
      </c>
      <c r="G89" s="13" t="n">
        <v>0.0993227990970655</v>
      </c>
      <c r="H89" s="14" t="n">
        <v>0.33464484108631</v>
      </c>
      <c r="I89" s="14" t="n">
        <v>0.314394030923699</v>
      </c>
      <c r="J89" s="14" t="n">
        <v>0.350961127989991</v>
      </c>
      <c r="K89" s="12" t="s">
        <v>33</v>
      </c>
      <c r="L89" s="15" t="n">
        <v>857</v>
      </c>
      <c r="M89" s="15" t="n">
        <v>5</v>
      </c>
    </row>
    <row r="90" customFormat="false" ht="15" hidden="false" customHeight="false" outlineLevel="0" collapsed="false">
      <c r="A90" s="12" t="s">
        <v>41</v>
      </c>
      <c r="B90" s="7" t="s">
        <v>42</v>
      </c>
      <c r="C90" s="12" t="s">
        <v>58</v>
      </c>
      <c r="D90" s="7" t="s">
        <v>31</v>
      </c>
      <c r="E90" s="7" t="s">
        <v>40</v>
      </c>
      <c r="F90" s="12" t="n">
        <f aca="false">IF(D90=E90,1,0)</f>
        <v>0</v>
      </c>
      <c r="G90" s="13" t="n">
        <v>0.0024875621890547</v>
      </c>
      <c r="H90" s="14" t="n">
        <v>0.346114199559918</v>
      </c>
      <c r="I90" s="14" t="n">
        <v>0.302603032144312</v>
      </c>
      <c r="J90" s="14" t="n">
        <v>0.35128276829577</v>
      </c>
      <c r="K90" s="12" t="s">
        <v>33</v>
      </c>
      <c r="L90" s="15" t="n">
        <v>857</v>
      </c>
      <c r="M90" s="15" t="n">
        <v>5</v>
      </c>
    </row>
    <row r="91" customFormat="false" ht="15" hidden="false" customHeight="false" outlineLevel="0" collapsed="false">
      <c r="A91" s="12" t="s">
        <v>43</v>
      </c>
      <c r="B91" s="7" t="s">
        <v>44</v>
      </c>
      <c r="C91" s="12" t="s">
        <v>58</v>
      </c>
      <c r="D91" s="7" t="s">
        <v>32</v>
      </c>
      <c r="E91" s="7" t="s">
        <v>40</v>
      </c>
      <c r="F91" s="12" t="n">
        <f aca="false">IF(D91=E91,1,0)</f>
        <v>0</v>
      </c>
      <c r="G91" s="13" t="n">
        <v>0.001336898395722</v>
      </c>
      <c r="H91" s="14" t="n">
        <v>0.342424859047261</v>
      </c>
      <c r="I91" s="14" t="n">
        <v>0.329553362418209</v>
      </c>
      <c r="J91" s="14" t="n">
        <v>0.32802177853453</v>
      </c>
      <c r="K91" s="12" t="s">
        <v>33</v>
      </c>
      <c r="L91" s="15" t="n">
        <v>857</v>
      </c>
      <c r="M91" s="15" t="n">
        <v>5</v>
      </c>
    </row>
    <row r="92" customFormat="false" ht="15" hidden="false" customHeight="false" outlineLevel="0" collapsed="false">
      <c r="A92" s="12" t="s">
        <v>28</v>
      </c>
      <c r="B92" s="7" t="s">
        <v>29</v>
      </c>
      <c r="C92" s="12" t="s">
        <v>59</v>
      </c>
      <c r="D92" s="7" t="s">
        <v>32</v>
      </c>
      <c r="E92" s="7" t="s">
        <v>32</v>
      </c>
      <c r="F92" s="12" t="n">
        <f aca="false">IF(D92=E92,1,0)</f>
        <v>1</v>
      </c>
      <c r="G92" s="13" t="n">
        <v>-0.0265060240963855</v>
      </c>
      <c r="H92" s="14" t="n">
        <v>0.341511206639118</v>
      </c>
      <c r="I92" s="14" t="n">
        <v>0.335812257062819</v>
      </c>
      <c r="J92" s="14" t="n">
        <v>0.322676536298063</v>
      </c>
      <c r="K92" s="12" t="s">
        <v>33</v>
      </c>
      <c r="L92" s="15" t="n">
        <v>857</v>
      </c>
      <c r="M92" s="15" t="n">
        <v>5</v>
      </c>
    </row>
    <row r="93" customFormat="false" ht="15" hidden="false" customHeight="false" outlineLevel="0" collapsed="false">
      <c r="A93" s="12" t="s">
        <v>34</v>
      </c>
      <c r="B93" s="7" t="s">
        <v>35</v>
      </c>
      <c r="C93" s="12" t="s">
        <v>59</v>
      </c>
      <c r="D93" s="7" t="s">
        <v>40</v>
      </c>
      <c r="E93" s="7" t="s">
        <v>31</v>
      </c>
      <c r="F93" s="12" t="n">
        <f aca="false">IF(D93=E93,1,0)</f>
        <v>0</v>
      </c>
      <c r="G93" s="13" t="n">
        <v>0.0293453724604966</v>
      </c>
      <c r="H93" s="14" t="n">
        <v>0.321482842352082</v>
      </c>
      <c r="I93" s="14" t="n">
        <v>0.354066717604838</v>
      </c>
      <c r="J93" s="14" t="n">
        <v>0.32445044004308</v>
      </c>
      <c r="K93" s="12" t="s">
        <v>33</v>
      </c>
      <c r="L93" s="15" t="n">
        <v>857</v>
      </c>
      <c r="M93" s="15" t="n">
        <v>5</v>
      </c>
    </row>
    <row r="94" customFormat="false" ht="15" hidden="false" customHeight="false" outlineLevel="0" collapsed="false">
      <c r="A94" s="12" t="s">
        <v>36</v>
      </c>
      <c r="B94" s="7" t="s">
        <v>37</v>
      </c>
      <c r="C94" s="12" t="s">
        <v>59</v>
      </c>
      <c r="D94" s="7" t="s">
        <v>32</v>
      </c>
      <c r="E94" s="7" t="s">
        <v>31</v>
      </c>
      <c r="F94" s="12" t="n">
        <f aca="false">IF(D94=E94,1,0)</f>
        <v>0</v>
      </c>
      <c r="G94" s="13" t="n">
        <v>0.0366132723112129</v>
      </c>
      <c r="H94" s="14" t="n">
        <v>0.366173262872036</v>
      </c>
      <c r="I94" s="14" t="n">
        <v>0.31092113215726</v>
      </c>
      <c r="J94" s="14" t="n">
        <v>0.322905604970704</v>
      </c>
      <c r="K94" s="12" t="s">
        <v>33</v>
      </c>
      <c r="L94" s="15" t="n">
        <v>857</v>
      </c>
      <c r="M94" s="15" t="n">
        <v>5</v>
      </c>
    </row>
    <row r="95" customFormat="false" ht="15" hidden="false" customHeight="false" outlineLevel="0" collapsed="false">
      <c r="A95" s="12" t="s">
        <v>38</v>
      </c>
      <c r="B95" s="7" t="s">
        <v>39</v>
      </c>
      <c r="C95" s="12" t="s">
        <v>59</v>
      </c>
      <c r="D95" s="7" t="s">
        <v>32</v>
      </c>
      <c r="E95" s="7" t="s">
        <v>40</v>
      </c>
      <c r="F95" s="12" t="n">
        <f aca="false">IF(D95=E95,1,0)</f>
        <v>0</v>
      </c>
      <c r="G95" s="13" t="n">
        <v>0</v>
      </c>
      <c r="H95" s="14" t="n">
        <v>0.33470643863138</v>
      </c>
      <c r="I95" s="14" t="n">
        <v>0.334139162305109</v>
      </c>
      <c r="J95" s="14" t="n">
        <v>0.331154399063511</v>
      </c>
      <c r="K95" s="12" t="s">
        <v>33</v>
      </c>
      <c r="L95" s="15" t="n">
        <v>857</v>
      </c>
      <c r="M95" s="15" t="n">
        <v>5</v>
      </c>
    </row>
    <row r="96" customFormat="false" ht="15" hidden="false" customHeight="false" outlineLevel="0" collapsed="false">
      <c r="A96" s="12" t="s">
        <v>41</v>
      </c>
      <c r="B96" s="7" t="s">
        <v>42</v>
      </c>
      <c r="C96" s="12" t="s">
        <v>59</v>
      </c>
      <c r="D96" s="7" t="s">
        <v>40</v>
      </c>
      <c r="E96" s="7" t="s">
        <v>32</v>
      </c>
      <c r="F96" s="12" t="n">
        <f aca="false">IF(D96=E96,1,0)</f>
        <v>0</v>
      </c>
      <c r="G96" s="13" t="n">
        <v>-0.009925558312655</v>
      </c>
      <c r="H96" s="14" t="n">
        <v>0.321036695400664</v>
      </c>
      <c r="I96" s="14" t="n">
        <v>0.346863522047984</v>
      </c>
      <c r="J96" s="14" t="n">
        <v>0.332099782551352</v>
      </c>
      <c r="K96" s="12" t="s">
        <v>33</v>
      </c>
      <c r="L96" s="15" t="n">
        <v>857</v>
      </c>
      <c r="M96" s="15" t="n">
        <v>5</v>
      </c>
    </row>
    <row r="97" customFormat="false" ht="15" hidden="false" customHeight="false" outlineLevel="0" collapsed="false">
      <c r="A97" s="12" t="s">
        <v>43</v>
      </c>
      <c r="B97" s="7" t="s">
        <v>44</v>
      </c>
      <c r="C97" s="12" t="s">
        <v>59</v>
      </c>
      <c r="D97" s="7" t="s">
        <v>32</v>
      </c>
      <c r="E97" s="7" t="s">
        <v>32</v>
      </c>
      <c r="F97" s="12" t="n">
        <f aca="false">IF(D97=E97,1,0)</f>
        <v>1</v>
      </c>
      <c r="G97" s="13" t="n">
        <v>-0.0053404539385848</v>
      </c>
      <c r="H97" s="14" t="n">
        <v>0.35945717615208</v>
      </c>
      <c r="I97" s="14" t="n">
        <v>0.345650727053314</v>
      </c>
      <c r="J97" s="14" t="n">
        <v>0.294892096794606</v>
      </c>
      <c r="K97" s="12" t="s">
        <v>33</v>
      </c>
      <c r="L97" s="15" t="n">
        <v>857</v>
      </c>
      <c r="M97" s="15" t="n">
        <v>5</v>
      </c>
    </row>
    <row r="98" customFormat="false" ht="15" hidden="false" customHeight="false" outlineLevel="0" collapsed="false">
      <c r="A98" s="12" t="s">
        <v>28</v>
      </c>
      <c r="B98" s="7" t="s">
        <v>29</v>
      </c>
      <c r="C98" s="12" t="s">
        <v>60</v>
      </c>
      <c r="D98" s="7" t="s">
        <v>32</v>
      </c>
      <c r="E98" s="7" t="s">
        <v>31</v>
      </c>
      <c r="F98" s="12" t="n">
        <f aca="false">IF(D98=E98,1,0)</f>
        <v>0</v>
      </c>
      <c r="G98" s="13" t="n">
        <v>0.051980198019802</v>
      </c>
      <c r="H98" s="14" t="n">
        <v>0.340155457967487</v>
      </c>
      <c r="I98" s="14" t="n">
        <v>0.32826186987685</v>
      </c>
      <c r="J98" s="14" t="n">
        <v>0.331582672155664</v>
      </c>
      <c r="K98" s="12" t="s">
        <v>33</v>
      </c>
      <c r="L98" s="15" t="n">
        <v>857</v>
      </c>
      <c r="M98" s="15" t="n">
        <v>5</v>
      </c>
    </row>
    <row r="99" customFormat="false" ht="15" hidden="false" customHeight="false" outlineLevel="0" collapsed="false">
      <c r="A99" s="12" t="s">
        <v>34</v>
      </c>
      <c r="B99" s="7" t="s">
        <v>35</v>
      </c>
      <c r="C99" s="12" t="s">
        <v>60</v>
      </c>
      <c r="D99" s="7" t="s">
        <v>31</v>
      </c>
      <c r="E99" s="7" t="s">
        <v>32</v>
      </c>
      <c r="F99" s="12" t="n">
        <f aca="false">IF(D99=E99,1,0)</f>
        <v>0</v>
      </c>
      <c r="G99" s="13" t="n">
        <v>-0.0109649122807017</v>
      </c>
      <c r="H99" s="14" t="n">
        <v>0.328410113004412</v>
      </c>
      <c r="I99" s="14" t="n">
        <v>0.309607595823514</v>
      </c>
      <c r="J99" s="14" t="n">
        <v>0.361982291172075</v>
      </c>
      <c r="K99" s="12" t="s">
        <v>33</v>
      </c>
      <c r="L99" s="15" t="n">
        <v>857</v>
      </c>
      <c r="M99" s="15" t="n">
        <v>5</v>
      </c>
    </row>
    <row r="100" customFormat="false" ht="15" hidden="false" customHeight="false" outlineLevel="0" collapsed="false">
      <c r="A100" s="12" t="s">
        <v>36</v>
      </c>
      <c r="B100" s="7" t="s">
        <v>37</v>
      </c>
      <c r="C100" s="12" t="s">
        <v>60</v>
      </c>
      <c r="D100" s="7" t="s">
        <v>32</v>
      </c>
      <c r="E100" s="7" t="s">
        <v>32</v>
      </c>
      <c r="F100" s="12" t="n">
        <f aca="false">IF(D100=E100,1,0)</f>
        <v>1</v>
      </c>
      <c r="G100" s="13" t="n">
        <v>-0.0220750551876379</v>
      </c>
      <c r="H100" s="14" t="n">
        <v>0.357637990773738</v>
      </c>
      <c r="I100" s="14" t="n">
        <v>0.298267232981319</v>
      </c>
      <c r="J100" s="14" t="n">
        <v>0.344094776244943</v>
      </c>
      <c r="K100" s="12" t="s">
        <v>33</v>
      </c>
      <c r="L100" s="15" t="n">
        <v>857</v>
      </c>
      <c r="M100" s="15" t="n">
        <v>5</v>
      </c>
    </row>
    <row r="101" customFormat="false" ht="15" hidden="false" customHeight="false" outlineLevel="0" collapsed="false">
      <c r="A101" s="12" t="s">
        <v>38</v>
      </c>
      <c r="B101" s="7" t="s">
        <v>39</v>
      </c>
      <c r="C101" s="12" t="s">
        <v>60</v>
      </c>
      <c r="D101" s="7" t="s">
        <v>31</v>
      </c>
      <c r="E101" s="7" t="s">
        <v>31</v>
      </c>
      <c r="F101" s="12" t="n">
        <f aca="false">IF(D101=E101,1,0)</f>
        <v>1</v>
      </c>
      <c r="G101" s="13" t="n">
        <v>0.0739219712525667</v>
      </c>
      <c r="H101" s="14" t="n">
        <v>0.339351861410912</v>
      </c>
      <c r="I101" s="14" t="n">
        <v>0.31499237829253</v>
      </c>
      <c r="J101" s="14" t="n">
        <v>0.345655760296558</v>
      </c>
      <c r="K101" s="12" t="s">
        <v>33</v>
      </c>
      <c r="L101" s="15" t="n">
        <v>857</v>
      </c>
      <c r="M101" s="15" t="n">
        <v>5</v>
      </c>
    </row>
    <row r="102" customFormat="false" ht="15" hidden="false" customHeight="false" outlineLevel="0" collapsed="false">
      <c r="A102" s="12" t="s">
        <v>41</v>
      </c>
      <c r="B102" s="7" t="s">
        <v>42</v>
      </c>
      <c r="C102" s="12" t="s">
        <v>60</v>
      </c>
      <c r="D102" s="7" t="s">
        <v>40</v>
      </c>
      <c r="E102" s="7" t="s">
        <v>40</v>
      </c>
      <c r="F102" s="12" t="n">
        <f aca="false">IF(D102=E102,1,0)</f>
        <v>1</v>
      </c>
      <c r="G102" s="13" t="n">
        <v>0.0025062656641603</v>
      </c>
      <c r="H102" s="14" t="n">
        <v>0.318231934158254</v>
      </c>
      <c r="I102" s="14" t="n">
        <v>0.358986452622855</v>
      </c>
      <c r="J102" s="14" t="n">
        <v>0.322781613218892</v>
      </c>
      <c r="K102" s="12" t="s">
        <v>33</v>
      </c>
      <c r="L102" s="15" t="n">
        <v>857</v>
      </c>
      <c r="M102" s="15" t="n">
        <v>5</v>
      </c>
    </row>
    <row r="103" customFormat="false" ht="15" hidden="false" customHeight="false" outlineLevel="0" collapsed="false">
      <c r="A103" s="12" t="s">
        <v>43</v>
      </c>
      <c r="B103" s="7" t="s">
        <v>44</v>
      </c>
      <c r="C103" s="12" t="s">
        <v>60</v>
      </c>
      <c r="D103" s="7" t="s">
        <v>40</v>
      </c>
      <c r="E103" s="7" t="s">
        <v>40</v>
      </c>
      <c r="F103" s="12" t="n">
        <f aca="false">IF(D103=E103,1,0)</f>
        <v>1</v>
      </c>
      <c r="G103" s="13" t="n">
        <v>0.0026845637583892</v>
      </c>
      <c r="H103" s="14" t="n">
        <v>0.331625549187487</v>
      </c>
      <c r="I103" s="14" t="n">
        <v>0.355721214373828</v>
      </c>
      <c r="J103" s="14" t="n">
        <v>0.312653236438685</v>
      </c>
      <c r="K103" s="12" t="s">
        <v>33</v>
      </c>
      <c r="L103" s="15" t="n">
        <v>857</v>
      </c>
      <c r="M103" s="15" t="n">
        <v>5</v>
      </c>
    </row>
    <row r="104" customFormat="false" ht="15" hidden="false" customHeight="false" outlineLevel="0" collapsed="false">
      <c r="A104" s="12" t="s">
        <v>28</v>
      </c>
      <c r="B104" s="7" t="s">
        <v>29</v>
      </c>
      <c r="C104" s="12" t="s">
        <v>61</v>
      </c>
      <c r="D104" s="7" t="s">
        <v>40</v>
      </c>
      <c r="E104" s="7" t="s">
        <v>31</v>
      </c>
      <c r="F104" s="12" t="n">
        <f aca="false">IF(D104=E104,1,0)</f>
        <v>0</v>
      </c>
      <c r="G104" s="13" t="n">
        <v>0.0188235294117646</v>
      </c>
      <c r="H104" s="14" t="n">
        <v>0.334153073397122</v>
      </c>
      <c r="I104" s="14" t="n">
        <v>0.339269883518171</v>
      </c>
      <c r="J104" s="14" t="n">
        <v>0.326577043084707</v>
      </c>
      <c r="K104" s="12" t="s">
        <v>33</v>
      </c>
      <c r="L104" s="15" t="n">
        <v>857</v>
      </c>
      <c r="M104" s="15" t="n">
        <v>5</v>
      </c>
    </row>
    <row r="105" customFormat="false" ht="15" hidden="false" customHeight="false" outlineLevel="0" collapsed="false">
      <c r="A105" s="12" t="s">
        <v>34</v>
      </c>
      <c r="B105" s="7" t="s">
        <v>35</v>
      </c>
      <c r="C105" s="12" t="s">
        <v>61</v>
      </c>
      <c r="D105" s="7" t="s">
        <v>31</v>
      </c>
      <c r="E105" s="7" t="s">
        <v>40</v>
      </c>
      <c r="F105" s="12" t="n">
        <f aca="false">IF(D105=E105,1,0)</f>
        <v>0</v>
      </c>
      <c r="G105" s="13" t="n">
        <v>-0.0022172949002217</v>
      </c>
      <c r="H105" s="14" t="n">
        <v>0.334537954303942</v>
      </c>
      <c r="I105" s="14" t="n">
        <v>0.311657972234134</v>
      </c>
      <c r="J105" s="14" t="n">
        <v>0.353804073461923</v>
      </c>
      <c r="K105" s="12" t="s">
        <v>33</v>
      </c>
      <c r="L105" s="15" t="n">
        <v>857</v>
      </c>
      <c r="M105" s="15" t="n">
        <v>5</v>
      </c>
    </row>
    <row r="106" customFormat="false" ht="15" hidden="false" customHeight="false" outlineLevel="0" collapsed="false">
      <c r="A106" s="12" t="s">
        <v>36</v>
      </c>
      <c r="B106" s="7" t="s">
        <v>37</v>
      </c>
      <c r="C106" s="12" t="s">
        <v>61</v>
      </c>
      <c r="D106" s="7" t="s">
        <v>32</v>
      </c>
      <c r="E106" s="7" t="s">
        <v>32</v>
      </c>
      <c r="F106" s="12" t="n">
        <f aca="false">IF(D106=E106,1,0)</f>
        <v>1</v>
      </c>
      <c r="G106" s="13" t="n">
        <v>-0.0158013544018058</v>
      </c>
      <c r="H106" s="14" t="n">
        <v>0.351393430102769</v>
      </c>
      <c r="I106" s="14" t="n">
        <v>0.298507072488292</v>
      </c>
      <c r="J106" s="14" t="n">
        <v>0.350099497408939</v>
      </c>
      <c r="K106" s="12" t="s">
        <v>33</v>
      </c>
      <c r="L106" s="15" t="n">
        <v>857</v>
      </c>
      <c r="M106" s="15" t="n">
        <v>5</v>
      </c>
    </row>
    <row r="107" customFormat="false" ht="15" hidden="false" customHeight="false" outlineLevel="0" collapsed="false">
      <c r="A107" s="12" t="s">
        <v>38</v>
      </c>
      <c r="B107" s="7" t="s">
        <v>39</v>
      </c>
      <c r="C107" s="12" t="s">
        <v>61</v>
      </c>
      <c r="D107" s="7" t="s">
        <v>31</v>
      </c>
      <c r="E107" s="7" t="s">
        <v>32</v>
      </c>
      <c r="F107" s="12" t="n">
        <f aca="false">IF(D107=E107,1,0)</f>
        <v>0</v>
      </c>
      <c r="G107" s="13" t="n">
        <v>-0.0152963671128106</v>
      </c>
      <c r="H107" s="14" t="n">
        <v>0.333142548770926</v>
      </c>
      <c r="I107" s="14" t="n">
        <v>0.332855110663149</v>
      </c>
      <c r="J107" s="14" t="n">
        <v>0.334002340565925</v>
      </c>
      <c r="K107" s="12" t="s">
        <v>33</v>
      </c>
      <c r="L107" s="15" t="n">
        <v>857</v>
      </c>
      <c r="M107" s="15" t="n">
        <v>5</v>
      </c>
    </row>
    <row r="108" customFormat="false" ht="15" hidden="false" customHeight="false" outlineLevel="0" collapsed="false">
      <c r="A108" s="12" t="s">
        <v>41</v>
      </c>
      <c r="B108" s="7" t="s">
        <v>42</v>
      </c>
      <c r="C108" s="12" t="s">
        <v>61</v>
      </c>
      <c r="D108" s="7" t="s">
        <v>40</v>
      </c>
      <c r="E108" s="7" t="s">
        <v>31</v>
      </c>
      <c r="F108" s="12" t="n">
        <f aca="false">IF(D108=E108,1,0)</f>
        <v>0</v>
      </c>
      <c r="G108" s="13" t="n">
        <v>0.0075</v>
      </c>
      <c r="H108" s="14" t="n">
        <v>0.324124110026866</v>
      </c>
      <c r="I108" s="14" t="n">
        <v>0.353008123768516</v>
      </c>
      <c r="J108" s="14" t="n">
        <v>0.322867766204618</v>
      </c>
      <c r="K108" s="12" t="s">
        <v>33</v>
      </c>
      <c r="L108" s="15" t="n">
        <v>857</v>
      </c>
      <c r="M108" s="15" t="n">
        <v>5</v>
      </c>
    </row>
    <row r="109" customFormat="false" ht="15" hidden="false" customHeight="false" outlineLevel="0" collapsed="false">
      <c r="A109" s="12" t="s">
        <v>43</v>
      </c>
      <c r="B109" s="7" t="s">
        <v>44</v>
      </c>
      <c r="C109" s="12" t="s">
        <v>61</v>
      </c>
      <c r="D109" s="7" t="s">
        <v>40</v>
      </c>
      <c r="E109" s="7" t="s">
        <v>31</v>
      </c>
      <c r="F109" s="12" t="n">
        <f aca="false">IF(D109=E109,1,0)</f>
        <v>0</v>
      </c>
      <c r="G109" s="13" t="n">
        <v>0.0522088353413654</v>
      </c>
      <c r="H109" s="14" t="n">
        <v>0.320156981518954</v>
      </c>
      <c r="I109" s="14" t="n">
        <v>0.354654346274552</v>
      </c>
      <c r="J109" s="14" t="n">
        <v>0.325188672206495</v>
      </c>
      <c r="K109" s="12" t="s">
        <v>33</v>
      </c>
      <c r="L109" s="15" t="n">
        <v>857</v>
      </c>
      <c r="M109" s="15" t="n">
        <v>5</v>
      </c>
    </row>
    <row r="110" customFormat="false" ht="15" hidden="false" customHeight="false" outlineLevel="0" collapsed="false">
      <c r="A110" s="12" t="s">
        <v>28</v>
      </c>
      <c r="B110" s="7" t="s">
        <v>29</v>
      </c>
      <c r="C110" s="12" t="s">
        <v>62</v>
      </c>
      <c r="D110" s="7" t="s">
        <v>32</v>
      </c>
      <c r="E110" s="7" t="s">
        <v>40</v>
      </c>
      <c r="F110" s="12" t="n">
        <f aca="false">IF(D110=E110,1,0)</f>
        <v>0</v>
      </c>
      <c r="G110" s="13" t="n">
        <v>0</v>
      </c>
      <c r="H110" s="14" t="n">
        <v>0.343824264539079</v>
      </c>
      <c r="I110" s="14" t="n">
        <v>0.337659820992368</v>
      </c>
      <c r="J110" s="14" t="n">
        <v>0.318515914468553</v>
      </c>
      <c r="K110" s="12" t="s">
        <v>33</v>
      </c>
      <c r="L110" s="15" t="n">
        <v>857</v>
      </c>
      <c r="M110" s="15" t="n">
        <v>5</v>
      </c>
    </row>
    <row r="111" customFormat="false" ht="15" hidden="false" customHeight="false" outlineLevel="0" collapsed="false">
      <c r="A111" s="12" t="s">
        <v>34</v>
      </c>
      <c r="B111" s="7" t="s">
        <v>35</v>
      </c>
      <c r="C111" s="12" t="s">
        <v>62</v>
      </c>
      <c r="D111" s="7" t="s">
        <v>32</v>
      </c>
      <c r="E111" s="7" t="s">
        <v>32</v>
      </c>
      <c r="F111" s="12" t="n">
        <f aca="false">IF(D111=E111,1,0)</f>
        <v>1</v>
      </c>
      <c r="G111" s="13" t="n">
        <v>-0.0244444444444444</v>
      </c>
      <c r="H111" s="14" t="n">
        <v>0.337500340015066</v>
      </c>
      <c r="I111" s="14" t="n">
        <v>0.335416136149735</v>
      </c>
      <c r="J111" s="14" t="n">
        <v>0.327083523835199</v>
      </c>
      <c r="K111" s="12" t="s">
        <v>33</v>
      </c>
      <c r="L111" s="15" t="n">
        <v>857</v>
      </c>
      <c r="M111" s="15" t="n">
        <v>5</v>
      </c>
    </row>
    <row r="112" customFormat="false" ht="15" hidden="false" customHeight="false" outlineLevel="0" collapsed="false">
      <c r="A112" s="12" t="s">
        <v>36</v>
      </c>
      <c r="B112" s="7" t="s">
        <v>37</v>
      </c>
      <c r="C112" s="12" t="s">
        <v>62</v>
      </c>
      <c r="D112" s="7" t="s">
        <v>31</v>
      </c>
      <c r="E112" s="7" t="s">
        <v>32</v>
      </c>
      <c r="F112" s="12" t="n">
        <f aca="false">IF(D112=E112,1,0)</f>
        <v>0</v>
      </c>
      <c r="G112" s="13" t="n">
        <v>-0.0206422018348624</v>
      </c>
      <c r="H112" s="14" t="n">
        <v>0.334341677935903</v>
      </c>
      <c r="I112" s="14" t="n">
        <v>0.317184446410638</v>
      </c>
      <c r="J112" s="14" t="n">
        <v>0.348473875653459</v>
      </c>
      <c r="K112" s="12" t="s">
        <v>33</v>
      </c>
      <c r="L112" s="15" t="n">
        <v>857</v>
      </c>
      <c r="M112" s="15" t="n">
        <v>5</v>
      </c>
    </row>
    <row r="113" customFormat="false" ht="15" hidden="false" customHeight="false" outlineLevel="0" collapsed="false">
      <c r="A113" s="12" t="s">
        <v>38</v>
      </c>
      <c r="B113" s="7" t="s">
        <v>39</v>
      </c>
      <c r="C113" s="12" t="s">
        <v>62</v>
      </c>
      <c r="D113" s="7" t="s">
        <v>31</v>
      </c>
      <c r="E113" s="7" t="s">
        <v>31</v>
      </c>
      <c r="F113" s="12" t="n">
        <f aca="false">IF(D113=E113,1,0)</f>
        <v>1</v>
      </c>
      <c r="G113" s="13" t="n">
        <v>0.0135922330097086</v>
      </c>
      <c r="H113" s="14" t="n">
        <v>0.339308783772951</v>
      </c>
      <c r="I113" s="14" t="n">
        <v>0.313142164518853</v>
      </c>
      <c r="J113" s="14" t="n">
        <v>0.347549051708197</v>
      </c>
      <c r="K113" s="12" t="s">
        <v>33</v>
      </c>
      <c r="L113" s="15" t="n">
        <v>857</v>
      </c>
      <c r="M113" s="15" t="n">
        <v>5</v>
      </c>
    </row>
    <row r="114" customFormat="false" ht="15" hidden="false" customHeight="false" outlineLevel="0" collapsed="false">
      <c r="A114" s="12" t="s">
        <v>41</v>
      </c>
      <c r="B114" s="7" t="s">
        <v>42</v>
      </c>
      <c r="C114" s="12" t="s">
        <v>62</v>
      </c>
      <c r="D114" s="7" t="s">
        <v>40</v>
      </c>
      <c r="E114" s="7" t="s">
        <v>40</v>
      </c>
      <c r="F114" s="12" t="n">
        <f aca="false">IF(D114=E114,1,0)</f>
        <v>1</v>
      </c>
      <c r="G114" s="13" t="n">
        <v>0.0024813895781636</v>
      </c>
      <c r="H114" s="14" t="n">
        <v>0.314121308637223</v>
      </c>
      <c r="I114" s="14" t="n">
        <v>0.352055005996724</v>
      </c>
      <c r="J114" s="14" t="n">
        <v>0.333823685366053</v>
      </c>
      <c r="K114" s="12" t="s">
        <v>33</v>
      </c>
      <c r="L114" s="15" t="n">
        <v>857</v>
      </c>
      <c r="M114" s="15" t="n">
        <v>5</v>
      </c>
    </row>
    <row r="115" customFormat="false" ht="15" hidden="false" customHeight="false" outlineLevel="0" collapsed="false">
      <c r="A115" s="12" t="s">
        <v>43</v>
      </c>
      <c r="B115" s="7" t="s">
        <v>44</v>
      </c>
      <c r="C115" s="12" t="s">
        <v>62</v>
      </c>
      <c r="D115" s="7" t="s">
        <v>31</v>
      </c>
      <c r="E115" s="7" t="s">
        <v>32</v>
      </c>
      <c r="F115" s="12" t="n">
        <f aca="false">IF(D115=E115,1,0)</f>
        <v>0</v>
      </c>
      <c r="G115" s="13" t="n">
        <v>-0.0178117048346054</v>
      </c>
      <c r="H115" s="14" t="n">
        <v>0.330142840950717</v>
      </c>
      <c r="I115" s="14" t="n">
        <v>0.31333163026399</v>
      </c>
      <c r="J115" s="14" t="n">
        <v>0.356525528785293</v>
      </c>
      <c r="K115" s="12" t="s">
        <v>33</v>
      </c>
      <c r="L115" s="15" t="n">
        <v>857</v>
      </c>
      <c r="M115" s="15" t="n">
        <v>5</v>
      </c>
    </row>
    <row r="116" customFormat="false" ht="15" hidden="false" customHeight="false" outlineLevel="0" collapsed="false">
      <c r="A116" s="12" t="s">
        <v>28</v>
      </c>
      <c r="B116" s="7" t="s">
        <v>29</v>
      </c>
      <c r="C116" s="12" t="s">
        <v>63</v>
      </c>
      <c r="D116" s="7" t="s">
        <v>32</v>
      </c>
      <c r="E116" s="7" t="s">
        <v>31</v>
      </c>
      <c r="F116" s="12" t="n">
        <f aca="false">IF(D116=E116,1,0)</f>
        <v>0</v>
      </c>
      <c r="G116" s="13" t="n">
        <v>0.0254041570438798</v>
      </c>
      <c r="H116" s="14" t="n">
        <v>0.36294912159445</v>
      </c>
      <c r="I116" s="14" t="n">
        <v>0.301345779436107</v>
      </c>
      <c r="J116" s="14" t="n">
        <v>0.335705098969442</v>
      </c>
      <c r="K116" s="12" t="s">
        <v>33</v>
      </c>
      <c r="L116" s="15" t="n">
        <v>857</v>
      </c>
      <c r="M116" s="15" t="n">
        <v>5</v>
      </c>
    </row>
    <row r="117" customFormat="false" ht="15" hidden="false" customHeight="false" outlineLevel="0" collapsed="false">
      <c r="A117" s="12" t="s">
        <v>34</v>
      </c>
      <c r="B117" s="7" t="s">
        <v>35</v>
      </c>
      <c r="C117" s="12" t="s">
        <v>63</v>
      </c>
      <c r="D117" s="7" t="s">
        <v>32</v>
      </c>
      <c r="E117" s="7" t="s">
        <v>31</v>
      </c>
      <c r="F117" s="12" t="n">
        <f aca="false">IF(D117=E117,1,0)</f>
        <v>0</v>
      </c>
      <c r="G117" s="13" t="n">
        <v>0.0364464692482915</v>
      </c>
      <c r="H117" s="14" t="n">
        <v>0.358911649843513</v>
      </c>
      <c r="I117" s="14" t="n">
        <v>0.32433211407249</v>
      </c>
      <c r="J117" s="14" t="n">
        <v>0.316756236083998</v>
      </c>
      <c r="K117" s="12" t="s">
        <v>33</v>
      </c>
      <c r="L117" s="15" t="n">
        <v>857</v>
      </c>
      <c r="M117" s="15" t="n">
        <v>5</v>
      </c>
    </row>
    <row r="118" customFormat="false" ht="15" hidden="false" customHeight="false" outlineLevel="0" collapsed="false">
      <c r="A118" s="12" t="s">
        <v>36</v>
      </c>
      <c r="B118" s="7" t="s">
        <v>37</v>
      </c>
      <c r="C118" s="12" t="s">
        <v>63</v>
      </c>
      <c r="D118" s="7" t="s">
        <v>32</v>
      </c>
      <c r="E118" s="7" t="s">
        <v>31</v>
      </c>
      <c r="F118" s="12" t="n">
        <f aca="false">IF(D118=E118,1,0)</f>
        <v>0</v>
      </c>
      <c r="G118" s="13" t="n">
        <v>0.0655737704918033</v>
      </c>
      <c r="H118" s="14" t="n">
        <v>0.360034582151547</v>
      </c>
      <c r="I118" s="14" t="n">
        <v>0.288430245495054</v>
      </c>
      <c r="J118" s="14" t="n">
        <v>0.351535172353399</v>
      </c>
      <c r="K118" s="12" t="s">
        <v>33</v>
      </c>
      <c r="L118" s="15" t="n">
        <v>857</v>
      </c>
      <c r="M118" s="15" t="n">
        <v>5</v>
      </c>
    </row>
    <row r="119" customFormat="false" ht="15" hidden="false" customHeight="false" outlineLevel="0" collapsed="false">
      <c r="A119" s="12" t="s">
        <v>38</v>
      </c>
      <c r="B119" s="7" t="s">
        <v>39</v>
      </c>
      <c r="C119" s="12" t="s">
        <v>63</v>
      </c>
      <c r="D119" s="7" t="s">
        <v>32</v>
      </c>
      <c r="E119" s="7" t="s">
        <v>31</v>
      </c>
      <c r="F119" s="12" t="n">
        <f aca="false">IF(D119=E119,1,0)</f>
        <v>0</v>
      </c>
      <c r="G119" s="13" t="n">
        <v>0.0996168582375478</v>
      </c>
      <c r="H119" s="14" t="n">
        <v>0.358872452233733</v>
      </c>
      <c r="I119" s="14" t="n">
        <v>0.309193111431832</v>
      </c>
      <c r="J119" s="14" t="n">
        <v>0.331934436334434</v>
      </c>
      <c r="K119" s="12" t="s">
        <v>33</v>
      </c>
      <c r="L119" s="15" t="n">
        <v>857</v>
      </c>
      <c r="M119" s="15" t="n">
        <v>5</v>
      </c>
    </row>
    <row r="120" customFormat="false" ht="15" hidden="false" customHeight="false" outlineLevel="0" collapsed="false">
      <c r="A120" s="12" t="s">
        <v>41</v>
      </c>
      <c r="B120" s="7" t="s">
        <v>42</v>
      </c>
      <c r="C120" s="12" t="s">
        <v>63</v>
      </c>
      <c r="D120" s="7" t="s">
        <v>32</v>
      </c>
      <c r="E120" s="7" t="s">
        <v>31</v>
      </c>
      <c r="F120" s="12" t="n">
        <f aca="false">IF(D120=E120,1,0)</f>
        <v>0</v>
      </c>
      <c r="G120" s="13" t="n">
        <v>0.0198019801980198</v>
      </c>
      <c r="H120" s="14" t="n">
        <v>0.357614686424533</v>
      </c>
      <c r="I120" s="14" t="n">
        <v>0.331900570950911</v>
      </c>
      <c r="J120" s="14" t="n">
        <v>0.310484742624557</v>
      </c>
      <c r="K120" s="12" t="s">
        <v>33</v>
      </c>
      <c r="L120" s="15" t="n">
        <v>857</v>
      </c>
      <c r="M120" s="15" t="n">
        <v>5</v>
      </c>
    </row>
    <row r="121" customFormat="false" ht="15" hidden="false" customHeight="false" outlineLevel="0" collapsed="false">
      <c r="A121" s="12" t="s">
        <v>43</v>
      </c>
      <c r="B121" s="7" t="s">
        <v>44</v>
      </c>
      <c r="C121" s="12" t="s">
        <v>63</v>
      </c>
      <c r="D121" s="7" t="s">
        <v>40</v>
      </c>
      <c r="E121" s="7" t="s">
        <v>32</v>
      </c>
      <c r="F121" s="12" t="n">
        <f aca="false">IF(D121=E121,1,0)</f>
        <v>0</v>
      </c>
      <c r="G121" s="13" t="n">
        <v>-0.0129533678756477</v>
      </c>
      <c r="H121" s="14" t="n">
        <v>0.344198539928875</v>
      </c>
      <c r="I121" s="14" t="n">
        <v>0.348389090150242</v>
      </c>
      <c r="J121" s="14" t="n">
        <v>0.307412369920884</v>
      </c>
      <c r="K121" s="12" t="s">
        <v>33</v>
      </c>
      <c r="L121" s="15" t="n">
        <v>857</v>
      </c>
      <c r="M121" s="15" t="n">
        <v>5</v>
      </c>
    </row>
    <row r="122" customFormat="false" ht="15" hidden="false" customHeight="false" outlineLevel="0" collapsed="false">
      <c r="A122" s="12" t="s">
        <v>28</v>
      </c>
      <c r="B122" s="7" t="s">
        <v>29</v>
      </c>
      <c r="C122" s="12" t="s">
        <v>64</v>
      </c>
      <c r="D122" s="7" t="s">
        <v>31</v>
      </c>
      <c r="E122" s="7" t="s">
        <v>32</v>
      </c>
      <c r="F122" s="12" t="n">
        <f aca="false">IF(D122=E122,1,0)</f>
        <v>0</v>
      </c>
      <c r="G122" s="13" t="n">
        <v>-0.0247747747747747</v>
      </c>
      <c r="H122" s="14" t="n">
        <v>0.33194988996468</v>
      </c>
      <c r="I122" s="14" t="n">
        <v>0.290223835991501</v>
      </c>
      <c r="J122" s="14" t="n">
        <v>0.377826274043818</v>
      </c>
      <c r="K122" s="12" t="s">
        <v>65</v>
      </c>
      <c r="L122" s="15" t="n">
        <v>977</v>
      </c>
      <c r="M122" s="15" t="n">
        <v>12</v>
      </c>
    </row>
    <row r="123" customFormat="false" ht="15" hidden="false" customHeight="false" outlineLevel="0" collapsed="false">
      <c r="A123" s="12" t="s">
        <v>34</v>
      </c>
      <c r="B123" s="7" t="s">
        <v>35</v>
      </c>
      <c r="C123" s="12" t="s">
        <v>64</v>
      </c>
      <c r="D123" s="7" t="s">
        <v>31</v>
      </c>
      <c r="E123" s="7" t="s">
        <v>31</v>
      </c>
      <c r="F123" s="12" t="n">
        <f aca="false">IF(D123=E123,1,0)</f>
        <v>1</v>
      </c>
      <c r="G123" s="13" t="n">
        <v>0.0527472527472527</v>
      </c>
      <c r="H123" s="14" t="n">
        <v>0.342582257332763</v>
      </c>
      <c r="I123" s="14" t="n">
        <v>0.302969633896452</v>
      </c>
      <c r="J123" s="14" t="n">
        <v>0.354448108770786</v>
      </c>
      <c r="K123" s="12" t="s">
        <v>65</v>
      </c>
      <c r="L123" s="15" t="n">
        <v>977</v>
      </c>
      <c r="M123" s="15" t="n">
        <v>12</v>
      </c>
    </row>
    <row r="124" customFormat="false" ht="15" hidden="false" customHeight="false" outlineLevel="0" collapsed="false">
      <c r="A124" s="12" t="s">
        <v>36</v>
      </c>
      <c r="B124" s="7" t="s">
        <v>37</v>
      </c>
      <c r="C124" s="12" t="s">
        <v>64</v>
      </c>
      <c r="D124" s="7" t="s">
        <v>31</v>
      </c>
      <c r="E124" s="7" t="s">
        <v>32</v>
      </c>
      <c r="F124" s="12" t="n">
        <f aca="false">IF(D124=E124,1,0)</f>
        <v>0</v>
      </c>
      <c r="G124" s="13" t="n">
        <v>-0.0109890109890109</v>
      </c>
      <c r="H124" s="14" t="n">
        <v>0.338520113086313</v>
      </c>
      <c r="I124" s="14" t="n">
        <v>0.310069266961082</v>
      </c>
      <c r="J124" s="14" t="n">
        <v>0.351410619952605</v>
      </c>
      <c r="K124" s="12" t="s">
        <v>65</v>
      </c>
      <c r="L124" s="15" t="n">
        <v>977</v>
      </c>
      <c r="M124" s="15" t="n">
        <v>12</v>
      </c>
    </row>
    <row r="125" customFormat="false" ht="15" hidden="false" customHeight="false" outlineLevel="0" collapsed="false">
      <c r="A125" s="12" t="s">
        <v>41</v>
      </c>
      <c r="B125" s="7" t="s">
        <v>42</v>
      </c>
      <c r="C125" s="12" t="s">
        <v>64</v>
      </c>
      <c r="D125" s="7" t="s">
        <v>32</v>
      </c>
      <c r="E125" s="7" t="s">
        <v>31</v>
      </c>
      <c r="F125" s="12" t="n">
        <f aca="false">IF(D125=E125,1,0)</f>
        <v>0</v>
      </c>
      <c r="G125" s="13" t="n">
        <v>0.0097087378640776</v>
      </c>
      <c r="H125" s="14" t="n">
        <v>0.342635584659366</v>
      </c>
      <c r="I125" s="14" t="n">
        <v>0.314747770261897</v>
      </c>
      <c r="J125" s="14" t="n">
        <v>0.342616645078737</v>
      </c>
      <c r="K125" s="12" t="s">
        <v>65</v>
      </c>
      <c r="L125" s="15" t="n">
        <v>977</v>
      </c>
      <c r="M125" s="15" t="n">
        <v>12</v>
      </c>
    </row>
    <row r="126" customFormat="false" ht="15" hidden="false" customHeight="false" outlineLevel="0" collapsed="false">
      <c r="A126" s="12" t="s">
        <v>43</v>
      </c>
      <c r="B126" s="7" t="s">
        <v>44</v>
      </c>
      <c r="C126" s="12" t="s">
        <v>64</v>
      </c>
      <c r="D126" s="7" t="s">
        <v>31</v>
      </c>
      <c r="E126" s="7" t="s">
        <v>31</v>
      </c>
      <c r="F126" s="12" t="n">
        <f aca="false">IF(D126=E126,1,0)</f>
        <v>1</v>
      </c>
      <c r="G126" s="13" t="n">
        <v>0.0131233595800523</v>
      </c>
      <c r="H126" s="14" t="n">
        <v>0.30537000418536</v>
      </c>
      <c r="I126" s="14" t="n">
        <v>0.327466245133483</v>
      </c>
      <c r="J126" s="14" t="n">
        <v>0.367163750681157</v>
      </c>
      <c r="K126" s="12" t="s">
        <v>65</v>
      </c>
      <c r="L126" s="15" t="n">
        <v>977</v>
      </c>
      <c r="M126" s="15" t="n">
        <v>12</v>
      </c>
    </row>
    <row r="127" customFormat="false" ht="15" hidden="false" customHeight="false" outlineLevel="0" collapsed="false">
      <c r="A127" s="12" t="s">
        <v>28</v>
      </c>
      <c r="B127" s="7" t="s">
        <v>29</v>
      </c>
      <c r="C127" s="12" t="s">
        <v>66</v>
      </c>
      <c r="D127" s="7" t="s">
        <v>32</v>
      </c>
      <c r="E127" s="7" t="s">
        <v>31</v>
      </c>
      <c r="F127" s="12" t="n">
        <f aca="false">IF(D127=E127,1,0)</f>
        <v>0</v>
      </c>
      <c r="G127" s="13" t="n">
        <v>0.0207852193995381</v>
      </c>
      <c r="H127" s="14" t="n">
        <v>0.355331590777741</v>
      </c>
      <c r="I127" s="14" t="n">
        <v>0.314634556562802</v>
      </c>
      <c r="J127" s="14" t="n">
        <v>0.330033852659457</v>
      </c>
      <c r="K127" s="12" t="s">
        <v>65</v>
      </c>
      <c r="L127" s="15" t="n">
        <v>977</v>
      </c>
      <c r="M127" s="15" t="n">
        <v>12</v>
      </c>
    </row>
    <row r="128" customFormat="false" ht="15" hidden="false" customHeight="false" outlineLevel="0" collapsed="false">
      <c r="A128" s="12" t="s">
        <v>34</v>
      </c>
      <c r="B128" s="7" t="s">
        <v>35</v>
      </c>
      <c r="C128" s="12" t="s">
        <v>66</v>
      </c>
      <c r="D128" s="7" t="s">
        <v>32</v>
      </c>
      <c r="E128" s="7" t="s">
        <v>31</v>
      </c>
      <c r="F128" s="12" t="n">
        <f aca="false">IF(D128=E128,1,0)</f>
        <v>0</v>
      </c>
      <c r="G128" s="13" t="n">
        <v>0.0521920668058455</v>
      </c>
      <c r="H128" s="14" t="n">
        <v>0.355136649240669</v>
      </c>
      <c r="I128" s="14" t="n">
        <v>0.292632591073743</v>
      </c>
      <c r="J128" s="14" t="n">
        <v>0.352230759685588</v>
      </c>
      <c r="K128" s="12" t="s">
        <v>65</v>
      </c>
      <c r="L128" s="15" t="n">
        <v>977</v>
      </c>
      <c r="M128" s="15" t="n">
        <v>12</v>
      </c>
    </row>
    <row r="129" customFormat="false" ht="15" hidden="false" customHeight="false" outlineLevel="0" collapsed="false">
      <c r="A129" s="12" t="s">
        <v>36</v>
      </c>
      <c r="B129" s="7" t="s">
        <v>37</v>
      </c>
      <c r="C129" s="12" t="s">
        <v>66</v>
      </c>
      <c r="D129" s="7" t="s">
        <v>31</v>
      </c>
      <c r="E129" s="7" t="s">
        <v>40</v>
      </c>
      <c r="F129" s="12" t="n">
        <f aca="false">IF(D129=E129,1,0)</f>
        <v>0</v>
      </c>
      <c r="G129" s="13" t="n">
        <v>0</v>
      </c>
      <c r="H129" s="14" t="n">
        <v>0.313691811904282</v>
      </c>
      <c r="I129" s="14" t="n">
        <v>0.267698188840542</v>
      </c>
      <c r="J129" s="14" t="n">
        <v>0.418609999255177</v>
      </c>
      <c r="K129" s="12" t="s">
        <v>65</v>
      </c>
      <c r="L129" s="15" t="n">
        <v>977</v>
      </c>
      <c r="M129" s="15" t="n">
        <v>12</v>
      </c>
    </row>
    <row r="130" customFormat="false" ht="15" hidden="false" customHeight="false" outlineLevel="0" collapsed="false">
      <c r="A130" s="12" t="s">
        <v>41</v>
      </c>
      <c r="B130" s="7" t="s">
        <v>42</v>
      </c>
      <c r="C130" s="12" t="s">
        <v>66</v>
      </c>
      <c r="D130" s="7" t="s">
        <v>40</v>
      </c>
      <c r="E130" s="7" t="s">
        <v>31</v>
      </c>
      <c r="F130" s="12" t="n">
        <f aca="false">IF(D130=E130,1,0)</f>
        <v>0</v>
      </c>
      <c r="G130" s="13" t="n">
        <v>0.0192307692307691</v>
      </c>
      <c r="H130" s="14" t="n">
        <v>0.328781354844841</v>
      </c>
      <c r="I130" s="14" t="n">
        <v>0.357843202319647</v>
      </c>
      <c r="J130" s="14" t="n">
        <v>0.313375442835512</v>
      </c>
      <c r="K130" s="12" t="s">
        <v>65</v>
      </c>
      <c r="L130" s="15" t="n">
        <v>977</v>
      </c>
      <c r="M130" s="15" t="n">
        <v>12</v>
      </c>
    </row>
    <row r="131" customFormat="false" ht="15" hidden="false" customHeight="false" outlineLevel="0" collapsed="false">
      <c r="A131" s="12" t="s">
        <v>43</v>
      </c>
      <c r="B131" s="7" t="s">
        <v>44</v>
      </c>
      <c r="C131" s="12" t="s">
        <v>66</v>
      </c>
      <c r="D131" s="7" t="s">
        <v>40</v>
      </c>
      <c r="E131" s="7" t="s">
        <v>31</v>
      </c>
      <c r="F131" s="12" t="n">
        <f aca="false">IF(D131=E131,1,0)</f>
        <v>0</v>
      </c>
      <c r="G131" s="13" t="n">
        <v>0.0194300518134715</v>
      </c>
      <c r="H131" s="14" t="n">
        <v>0.333658885554707</v>
      </c>
      <c r="I131" s="14" t="n">
        <v>0.339636302715778</v>
      </c>
      <c r="J131" s="14" t="n">
        <v>0.326704811729516</v>
      </c>
      <c r="K131" s="12" t="s">
        <v>65</v>
      </c>
      <c r="L131" s="15" t="n">
        <v>977</v>
      </c>
      <c r="M131" s="15" t="n">
        <v>12</v>
      </c>
    </row>
    <row r="132" customFormat="false" ht="15" hidden="false" customHeight="false" outlineLevel="0" collapsed="false">
      <c r="A132" s="12" t="s">
        <v>28</v>
      </c>
      <c r="B132" s="7" t="s">
        <v>29</v>
      </c>
      <c r="C132" s="12" t="s">
        <v>67</v>
      </c>
      <c r="D132" s="7" t="s">
        <v>31</v>
      </c>
      <c r="E132" s="7" t="s">
        <v>31</v>
      </c>
      <c r="F132" s="12" t="n">
        <f aca="false">IF(D132=E132,1,0)</f>
        <v>1</v>
      </c>
      <c r="G132" s="13" t="n">
        <v>0.0316742081447964</v>
      </c>
      <c r="H132" s="14" t="n">
        <v>0.3241060626082</v>
      </c>
      <c r="I132" s="14" t="n">
        <v>0.279604749052798</v>
      </c>
      <c r="J132" s="14" t="n">
        <v>0.396289188339002</v>
      </c>
      <c r="K132" s="12" t="s">
        <v>65</v>
      </c>
      <c r="L132" s="15" t="n">
        <v>977</v>
      </c>
      <c r="M132" s="15" t="n">
        <v>12</v>
      </c>
    </row>
    <row r="133" customFormat="false" ht="15" hidden="false" customHeight="false" outlineLevel="0" collapsed="false">
      <c r="A133" s="12" t="s">
        <v>34</v>
      </c>
      <c r="B133" s="7" t="s">
        <v>35</v>
      </c>
      <c r="C133" s="12" t="s">
        <v>67</v>
      </c>
      <c r="D133" s="7" t="s">
        <v>32</v>
      </c>
      <c r="E133" s="7" t="s">
        <v>31</v>
      </c>
      <c r="F133" s="12" t="n">
        <f aca="false">IF(D133=E133,1,0)</f>
        <v>0</v>
      </c>
      <c r="G133" s="13" t="n">
        <v>0.0059523809523809</v>
      </c>
      <c r="H133" s="14" t="n">
        <v>0.372311809023152</v>
      </c>
      <c r="I133" s="14" t="n">
        <v>0.279040360603223</v>
      </c>
      <c r="J133" s="14" t="n">
        <v>0.348647830373625</v>
      </c>
      <c r="K133" s="12" t="s">
        <v>65</v>
      </c>
      <c r="L133" s="15" t="n">
        <v>977</v>
      </c>
      <c r="M133" s="15" t="n">
        <v>12</v>
      </c>
    </row>
    <row r="134" customFormat="false" ht="15" hidden="false" customHeight="false" outlineLevel="0" collapsed="false">
      <c r="A134" s="12" t="s">
        <v>36</v>
      </c>
      <c r="B134" s="7" t="s">
        <v>37</v>
      </c>
      <c r="C134" s="12" t="s">
        <v>67</v>
      </c>
      <c r="D134" s="7" t="s">
        <v>32</v>
      </c>
      <c r="E134" s="7" t="s">
        <v>31</v>
      </c>
      <c r="F134" s="12" t="n">
        <f aca="false">IF(D134=E134,1,0)</f>
        <v>0</v>
      </c>
      <c r="G134" s="13" t="n">
        <v>0.0266666666666666</v>
      </c>
      <c r="H134" s="14" t="n">
        <v>0.358321856256911</v>
      </c>
      <c r="I134" s="14" t="n">
        <v>0.293567716613365</v>
      </c>
      <c r="J134" s="14" t="n">
        <v>0.348110427129724</v>
      </c>
      <c r="K134" s="12" t="s">
        <v>65</v>
      </c>
      <c r="L134" s="15" t="n">
        <v>977</v>
      </c>
      <c r="M134" s="15" t="n">
        <v>12</v>
      </c>
    </row>
    <row r="135" customFormat="false" ht="15" hidden="false" customHeight="false" outlineLevel="0" collapsed="false">
      <c r="A135" s="12" t="s">
        <v>38</v>
      </c>
      <c r="B135" s="7" t="s">
        <v>39</v>
      </c>
      <c r="C135" s="12" t="s">
        <v>67</v>
      </c>
      <c r="D135" s="7" t="s">
        <v>31</v>
      </c>
      <c r="E135" s="7" t="s">
        <v>40</v>
      </c>
      <c r="F135" s="12" t="n">
        <f aca="false">IF(D135=E135,1,0)</f>
        <v>0</v>
      </c>
      <c r="G135" s="13" t="n">
        <v>-0.0029154518950437</v>
      </c>
      <c r="H135" s="14" t="n">
        <v>0.344892576538432</v>
      </c>
      <c r="I135" s="14" t="n">
        <v>0.294186753757316</v>
      </c>
      <c r="J135" s="14" t="n">
        <v>0.360920669704252</v>
      </c>
      <c r="K135" s="12" t="s">
        <v>65</v>
      </c>
      <c r="L135" s="15" t="n">
        <v>977</v>
      </c>
      <c r="M135" s="15" t="n">
        <v>12</v>
      </c>
    </row>
    <row r="136" customFormat="false" ht="15" hidden="false" customHeight="false" outlineLevel="0" collapsed="false">
      <c r="A136" s="12" t="s">
        <v>41</v>
      </c>
      <c r="B136" s="7" t="s">
        <v>42</v>
      </c>
      <c r="C136" s="12" t="s">
        <v>67</v>
      </c>
      <c r="D136" s="7" t="s">
        <v>32</v>
      </c>
      <c r="E136" s="7" t="s">
        <v>31</v>
      </c>
      <c r="F136" s="12" t="n">
        <f aca="false">IF(D136=E136,1,0)</f>
        <v>0</v>
      </c>
      <c r="G136" s="13" t="n">
        <v>0.0070754716981131</v>
      </c>
      <c r="H136" s="14" t="n">
        <v>0.353838191403685</v>
      </c>
      <c r="I136" s="14" t="n">
        <v>0.315534076235854</v>
      </c>
      <c r="J136" s="14" t="n">
        <v>0.330627732360461</v>
      </c>
      <c r="K136" s="12" t="s">
        <v>65</v>
      </c>
      <c r="L136" s="15" t="n">
        <v>977</v>
      </c>
      <c r="M136" s="15" t="n">
        <v>12</v>
      </c>
    </row>
    <row r="137" customFormat="false" ht="15" hidden="false" customHeight="false" outlineLevel="0" collapsed="false">
      <c r="A137" s="12" t="s">
        <v>43</v>
      </c>
      <c r="B137" s="7" t="s">
        <v>44</v>
      </c>
      <c r="C137" s="12" t="s">
        <v>67</v>
      </c>
      <c r="D137" s="7" t="s">
        <v>40</v>
      </c>
      <c r="E137" s="7" t="s">
        <v>40</v>
      </c>
      <c r="F137" s="12" t="n">
        <f aca="false">IF(D137=E137,1,0)</f>
        <v>1</v>
      </c>
      <c r="G137" s="13" t="n">
        <v>0.0038119440914865</v>
      </c>
      <c r="H137" s="14" t="n">
        <v>0.341273591789673</v>
      </c>
      <c r="I137" s="14" t="n">
        <v>0.363016809038155</v>
      </c>
      <c r="J137" s="14" t="n">
        <v>0.295709599172172</v>
      </c>
      <c r="K137" s="12" t="s">
        <v>65</v>
      </c>
      <c r="L137" s="15" t="n">
        <v>977</v>
      </c>
      <c r="M137" s="15" t="n">
        <v>12</v>
      </c>
    </row>
    <row r="138" customFormat="false" ht="15" hidden="false" customHeight="false" outlineLevel="0" collapsed="false">
      <c r="A138" s="12" t="s">
        <v>28</v>
      </c>
      <c r="B138" s="7" t="s">
        <v>29</v>
      </c>
      <c r="C138" s="12" t="s">
        <v>68</v>
      </c>
      <c r="D138" s="7" t="s">
        <v>31</v>
      </c>
      <c r="E138" s="7" t="s">
        <v>32</v>
      </c>
      <c r="F138" s="12" t="n">
        <f aca="false">IF(D138=E138,1,0)</f>
        <v>0</v>
      </c>
      <c r="G138" s="13" t="n">
        <v>-0.0350877192982456</v>
      </c>
      <c r="H138" s="14" t="n">
        <v>0.327619897680193</v>
      </c>
      <c r="I138" s="14" t="n">
        <v>0.285357613378898</v>
      </c>
      <c r="J138" s="14" t="n">
        <v>0.387022488940909</v>
      </c>
      <c r="K138" s="12" t="s">
        <v>65</v>
      </c>
      <c r="L138" s="15" t="n">
        <v>977</v>
      </c>
      <c r="M138" s="15" t="n">
        <v>12</v>
      </c>
    </row>
    <row r="139" customFormat="false" ht="15" hidden="false" customHeight="false" outlineLevel="0" collapsed="false">
      <c r="A139" s="12" t="s">
        <v>34</v>
      </c>
      <c r="B139" s="7" t="s">
        <v>35</v>
      </c>
      <c r="C139" s="12" t="s">
        <v>68</v>
      </c>
      <c r="D139" s="7" t="s">
        <v>32</v>
      </c>
      <c r="E139" s="7" t="s">
        <v>32</v>
      </c>
      <c r="F139" s="12" t="n">
        <f aca="false">IF(D139=E139,1,0)</f>
        <v>1</v>
      </c>
      <c r="G139" s="13" t="n">
        <v>-0.0138067061143983</v>
      </c>
      <c r="H139" s="14" t="n">
        <v>0.367113897735492</v>
      </c>
      <c r="I139" s="14" t="n">
        <v>0.304534544467364</v>
      </c>
      <c r="J139" s="14" t="n">
        <v>0.328351557797144</v>
      </c>
      <c r="K139" s="12" t="s">
        <v>65</v>
      </c>
      <c r="L139" s="15" t="n">
        <v>977</v>
      </c>
      <c r="M139" s="15" t="n">
        <v>12</v>
      </c>
    </row>
    <row r="140" customFormat="false" ht="15" hidden="false" customHeight="false" outlineLevel="0" collapsed="false">
      <c r="A140" s="12" t="s">
        <v>36</v>
      </c>
      <c r="B140" s="7" t="s">
        <v>37</v>
      </c>
      <c r="C140" s="12" t="s">
        <v>68</v>
      </c>
      <c r="D140" s="7" t="s">
        <v>31</v>
      </c>
      <c r="E140" s="7" t="s">
        <v>32</v>
      </c>
      <c r="F140" s="12" t="n">
        <f aca="false">IF(D140=E140,1,0)</f>
        <v>0</v>
      </c>
      <c r="G140" s="13" t="n">
        <v>-0.0086580086580086</v>
      </c>
      <c r="H140" s="14" t="n">
        <v>0.320472390771471</v>
      </c>
      <c r="I140" s="14" t="n">
        <v>0.300845532753351</v>
      </c>
      <c r="J140" s="14" t="n">
        <v>0.378682076475178</v>
      </c>
      <c r="K140" s="12" t="s">
        <v>65</v>
      </c>
      <c r="L140" s="15" t="n">
        <v>977</v>
      </c>
      <c r="M140" s="15" t="n">
        <v>12</v>
      </c>
    </row>
    <row r="141" customFormat="false" ht="15" hidden="false" customHeight="false" outlineLevel="0" collapsed="false">
      <c r="A141" s="12" t="s">
        <v>38</v>
      </c>
      <c r="B141" s="7" t="s">
        <v>39</v>
      </c>
      <c r="C141" s="12" t="s">
        <v>68</v>
      </c>
      <c r="D141" s="7" t="s">
        <v>31</v>
      </c>
      <c r="E141" s="7" t="s">
        <v>31</v>
      </c>
      <c r="F141" s="12" t="n">
        <f aca="false">IF(D141=E141,1,0)</f>
        <v>1</v>
      </c>
      <c r="G141" s="13" t="n">
        <v>0.0614035087719297</v>
      </c>
      <c r="H141" s="14" t="n">
        <v>0.345982539613737</v>
      </c>
      <c r="I141" s="14" t="n">
        <v>0.306700053805594</v>
      </c>
      <c r="J141" s="14" t="n">
        <v>0.34731740658067</v>
      </c>
      <c r="K141" s="12" t="s">
        <v>65</v>
      </c>
      <c r="L141" s="15" t="n">
        <v>977</v>
      </c>
      <c r="M141" s="15" t="n">
        <v>12</v>
      </c>
    </row>
    <row r="142" customFormat="false" ht="15" hidden="false" customHeight="false" outlineLevel="0" collapsed="false">
      <c r="A142" s="12" t="s">
        <v>41</v>
      </c>
      <c r="B142" s="7" t="s">
        <v>42</v>
      </c>
      <c r="C142" s="12" t="s">
        <v>68</v>
      </c>
      <c r="D142" s="7" t="s">
        <v>40</v>
      </c>
      <c r="E142" s="7" t="s">
        <v>32</v>
      </c>
      <c r="F142" s="12" t="n">
        <f aca="false">IF(D142=E142,1,0)</f>
        <v>0</v>
      </c>
      <c r="G142" s="13" t="n">
        <v>-0.009367681498829</v>
      </c>
      <c r="H142" s="14" t="n">
        <v>0.315998676450811</v>
      </c>
      <c r="I142" s="14" t="n">
        <v>0.367545062032423</v>
      </c>
      <c r="J142" s="14" t="n">
        <v>0.316456261516766</v>
      </c>
      <c r="K142" s="12" t="s">
        <v>65</v>
      </c>
      <c r="L142" s="15" t="n">
        <v>977</v>
      </c>
      <c r="M142" s="15" t="n">
        <v>12</v>
      </c>
    </row>
    <row r="143" customFormat="false" ht="15" hidden="false" customHeight="false" outlineLevel="0" collapsed="false">
      <c r="A143" s="12" t="s">
        <v>43</v>
      </c>
      <c r="B143" s="7" t="s">
        <v>44</v>
      </c>
      <c r="C143" s="12" t="s">
        <v>68</v>
      </c>
      <c r="D143" s="7" t="s">
        <v>40</v>
      </c>
      <c r="E143" s="7" t="s">
        <v>31</v>
      </c>
      <c r="F143" s="12" t="n">
        <f aca="false">IF(D143=E143,1,0)</f>
        <v>0</v>
      </c>
      <c r="G143" s="13" t="n">
        <v>0.0126582278481013</v>
      </c>
      <c r="H143" s="14" t="n">
        <v>0.345821598854599</v>
      </c>
      <c r="I143" s="14" t="n">
        <v>0.358130857656195</v>
      </c>
      <c r="J143" s="14" t="n">
        <v>0.296047543489206</v>
      </c>
      <c r="K143" s="12" t="s">
        <v>65</v>
      </c>
      <c r="L143" s="15" t="n">
        <v>977</v>
      </c>
      <c r="M143" s="15" t="n">
        <v>12</v>
      </c>
    </row>
    <row r="144" customFormat="false" ht="15" hidden="false" customHeight="false" outlineLevel="0" collapsed="false">
      <c r="A144" s="12" t="s">
        <v>28</v>
      </c>
      <c r="B144" s="7" t="s">
        <v>29</v>
      </c>
      <c r="C144" s="12" t="s">
        <v>69</v>
      </c>
      <c r="D144" s="7" t="s">
        <v>32</v>
      </c>
      <c r="E144" s="7" t="s">
        <v>31</v>
      </c>
      <c r="F144" s="12" t="n">
        <f aca="false">IF(D144=E144,1,0)</f>
        <v>0</v>
      </c>
      <c r="G144" s="13" t="n">
        <v>0.0204545454545455</v>
      </c>
      <c r="H144" s="14" t="n">
        <v>0.360998912816773</v>
      </c>
      <c r="I144" s="14" t="n">
        <v>0.313334166861462</v>
      </c>
      <c r="J144" s="14" t="n">
        <v>0.325666920321765</v>
      </c>
      <c r="K144" s="12" t="s">
        <v>65</v>
      </c>
      <c r="L144" s="15" t="n">
        <v>977</v>
      </c>
      <c r="M144" s="15" t="n">
        <v>12</v>
      </c>
    </row>
    <row r="145" customFormat="false" ht="15" hidden="false" customHeight="false" outlineLevel="0" collapsed="false">
      <c r="A145" s="12" t="s">
        <v>34</v>
      </c>
      <c r="B145" s="7" t="s">
        <v>35</v>
      </c>
      <c r="C145" s="12" t="s">
        <v>69</v>
      </c>
      <c r="D145" s="7" t="s">
        <v>32</v>
      </c>
      <c r="E145" s="7" t="s">
        <v>31</v>
      </c>
      <c r="F145" s="12" t="n">
        <f aca="false">IF(D145=E145,1,0)</f>
        <v>0</v>
      </c>
      <c r="G145" s="13" t="n">
        <v>0.008</v>
      </c>
      <c r="H145" s="14" t="n">
        <v>0.367190518800929</v>
      </c>
      <c r="I145" s="14" t="n">
        <v>0.309166615336615</v>
      </c>
      <c r="J145" s="14" t="n">
        <v>0.323642865862456</v>
      </c>
      <c r="K145" s="12" t="s">
        <v>65</v>
      </c>
      <c r="L145" s="15" t="n">
        <v>977</v>
      </c>
      <c r="M145" s="15" t="n">
        <v>12</v>
      </c>
    </row>
    <row r="146" customFormat="false" ht="15" hidden="false" customHeight="false" outlineLevel="0" collapsed="false">
      <c r="A146" s="12" t="s">
        <v>36</v>
      </c>
      <c r="B146" s="7" t="s">
        <v>37</v>
      </c>
      <c r="C146" s="12" t="s">
        <v>69</v>
      </c>
      <c r="D146" s="7" t="s">
        <v>32</v>
      </c>
      <c r="E146" s="7" t="s">
        <v>32</v>
      </c>
      <c r="F146" s="12" t="n">
        <f aca="false">IF(D146=E146,1,0)</f>
        <v>1</v>
      </c>
      <c r="G146" s="13" t="n">
        <v>-0.0240174672489082</v>
      </c>
      <c r="H146" s="14" t="n">
        <v>0.374967344917227</v>
      </c>
      <c r="I146" s="14" t="n">
        <v>0.311938331926015</v>
      </c>
      <c r="J146" s="14" t="n">
        <v>0.313094323156757</v>
      </c>
      <c r="K146" s="12" t="s">
        <v>65</v>
      </c>
      <c r="L146" s="15" t="n">
        <v>977</v>
      </c>
      <c r="M146" s="15" t="n">
        <v>12</v>
      </c>
    </row>
    <row r="147" customFormat="false" ht="15" hidden="false" customHeight="false" outlineLevel="0" collapsed="false">
      <c r="A147" s="12" t="s">
        <v>38</v>
      </c>
      <c r="B147" s="7" t="s">
        <v>39</v>
      </c>
      <c r="C147" s="12" t="s">
        <v>69</v>
      </c>
      <c r="D147" s="7" t="s">
        <v>31</v>
      </c>
      <c r="E147" s="7" t="s">
        <v>31</v>
      </c>
      <c r="F147" s="12" t="n">
        <f aca="false">IF(D147=E147,1,0)</f>
        <v>1</v>
      </c>
      <c r="G147" s="13" t="n">
        <v>0.0688705234159778</v>
      </c>
      <c r="H147" s="14" t="n">
        <v>0.332766024824981</v>
      </c>
      <c r="I147" s="14" t="n">
        <v>0.292649156432334</v>
      </c>
      <c r="J147" s="14" t="n">
        <v>0.374584818742685</v>
      </c>
      <c r="K147" s="12" t="s">
        <v>65</v>
      </c>
      <c r="L147" s="15" t="n">
        <v>977</v>
      </c>
      <c r="M147" s="15" t="n">
        <v>12</v>
      </c>
    </row>
    <row r="148" customFormat="false" ht="15" hidden="false" customHeight="false" outlineLevel="0" collapsed="false">
      <c r="A148" s="12" t="s">
        <v>41</v>
      </c>
      <c r="B148" s="7" t="s">
        <v>42</v>
      </c>
      <c r="C148" s="12" t="s">
        <v>69</v>
      </c>
      <c r="D148" s="7" t="s">
        <v>32</v>
      </c>
      <c r="E148" s="7" t="s">
        <v>31</v>
      </c>
      <c r="F148" s="12" t="n">
        <f aca="false">IF(D148=E148,1,0)</f>
        <v>0</v>
      </c>
      <c r="G148" s="13" t="n">
        <v>0.011820330969267</v>
      </c>
      <c r="H148" s="14" t="n">
        <v>0.341426517108834</v>
      </c>
      <c r="I148" s="14" t="n">
        <v>0.340636130360303</v>
      </c>
      <c r="J148" s="14" t="n">
        <v>0.317937352530864</v>
      </c>
      <c r="K148" s="12" t="s">
        <v>65</v>
      </c>
      <c r="L148" s="15" t="n">
        <v>977</v>
      </c>
      <c r="M148" s="15" t="n">
        <v>12</v>
      </c>
    </row>
    <row r="149" customFormat="false" ht="15" hidden="false" customHeight="false" outlineLevel="0" collapsed="false">
      <c r="A149" s="12" t="s">
        <v>43</v>
      </c>
      <c r="B149" s="7" t="s">
        <v>44</v>
      </c>
      <c r="C149" s="12" t="s">
        <v>69</v>
      </c>
      <c r="D149" s="7" t="s">
        <v>31</v>
      </c>
      <c r="E149" s="7" t="s">
        <v>32</v>
      </c>
      <c r="F149" s="12" t="n">
        <f aca="false">IF(D149=E149,1,0)</f>
        <v>0</v>
      </c>
      <c r="G149" s="13" t="n">
        <v>-0.0199999999999999</v>
      </c>
      <c r="H149" s="14" t="n">
        <v>0.35533374040198</v>
      </c>
      <c r="I149" s="14" t="n">
        <v>0.287716054560441</v>
      </c>
      <c r="J149" s="14" t="n">
        <v>0.356950205037579</v>
      </c>
      <c r="K149" s="12" t="s">
        <v>65</v>
      </c>
      <c r="L149" s="15" t="n">
        <v>977</v>
      </c>
      <c r="M149" s="15" t="n">
        <v>12</v>
      </c>
    </row>
    <row r="150" customFormat="false" ht="15" hidden="false" customHeight="false" outlineLevel="0" collapsed="false">
      <c r="A150" s="12" t="s">
        <v>28</v>
      </c>
      <c r="B150" s="7" t="s">
        <v>29</v>
      </c>
      <c r="C150" s="12" t="s">
        <v>70</v>
      </c>
      <c r="D150" s="7" t="s">
        <v>31</v>
      </c>
      <c r="E150" s="7" t="s">
        <v>32</v>
      </c>
      <c r="F150" s="12" t="n">
        <f aca="false">IF(D150=E150,1,0)</f>
        <v>0</v>
      </c>
      <c r="G150" s="13" t="n">
        <v>-0.022271714922049</v>
      </c>
      <c r="H150" s="14" t="n">
        <v>0.312498568928607</v>
      </c>
      <c r="I150" s="14" t="n">
        <v>0.317414967983901</v>
      </c>
      <c r="J150" s="14" t="n">
        <v>0.370086463087492</v>
      </c>
      <c r="K150" s="12" t="s">
        <v>65</v>
      </c>
      <c r="L150" s="15" t="n">
        <v>977</v>
      </c>
      <c r="M150" s="15" t="n">
        <v>12</v>
      </c>
    </row>
    <row r="151" customFormat="false" ht="15" hidden="false" customHeight="false" outlineLevel="0" collapsed="false">
      <c r="A151" s="12" t="s">
        <v>34</v>
      </c>
      <c r="B151" s="7" t="s">
        <v>35</v>
      </c>
      <c r="C151" s="12" t="s">
        <v>70</v>
      </c>
      <c r="D151" s="7" t="s">
        <v>31</v>
      </c>
      <c r="E151" s="7" t="s">
        <v>32</v>
      </c>
      <c r="F151" s="12" t="n">
        <f aca="false">IF(D151=E151,1,0)</f>
        <v>0</v>
      </c>
      <c r="G151" s="13" t="n">
        <v>-0.0079365079365079</v>
      </c>
      <c r="H151" s="14" t="n">
        <v>0.318957867453942</v>
      </c>
      <c r="I151" s="14" t="n">
        <v>0.321499073961385</v>
      </c>
      <c r="J151" s="14" t="n">
        <v>0.359543058584673</v>
      </c>
      <c r="K151" s="12" t="s">
        <v>65</v>
      </c>
      <c r="L151" s="15" t="n">
        <v>977</v>
      </c>
      <c r="M151" s="15" t="n">
        <v>12</v>
      </c>
    </row>
    <row r="152" customFormat="false" ht="15" hidden="false" customHeight="false" outlineLevel="0" collapsed="false">
      <c r="A152" s="12" t="s">
        <v>36</v>
      </c>
      <c r="B152" s="7" t="s">
        <v>37</v>
      </c>
      <c r="C152" s="12" t="s">
        <v>70</v>
      </c>
      <c r="D152" s="7" t="s">
        <v>32</v>
      </c>
      <c r="E152" s="7" t="s">
        <v>31</v>
      </c>
      <c r="F152" s="12" t="n">
        <f aca="false">IF(D152=E152,1,0)</f>
        <v>0</v>
      </c>
      <c r="G152" s="13" t="n">
        <v>0.0089485458612974</v>
      </c>
      <c r="H152" s="14" t="n">
        <v>0.371273773030081</v>
      </c>
      <c r="I152" s="14" t="n">
        <v>0.287381428256582</v>
      </c>
      <c r="J152" s="14" t="n">
        <v>0.341344798713336</v>
      </c>
      <c r="K152" s="12" t="s">
        <v>65</v>
      </c>
      <c r="L152" s="15" t="n">
        <v>977</v>
      </c>
      <c r="M152" s="15" t="n">
        <v>12</v>
      </c>
    </row>
    <row r="153" customFormat="false" ht="15" hidden="false" customHeight="false" outlineLevel="0" collapsed="false">
      <c r="A153" s="12" t="s">
        <v>38</v>
      </c>
      <c r="B153" s="7" t="s">
        <v>39</v>
      </c>
      <c r="C153" s="12" t="s">
        <v>70</v>
      </c>
      <c r="D153" s="7" t="s">
        <v>31</v>
      </c>
      <c r="E153" s="7" t="s">
        <v>32</v>
      </c>
      <c r="F153" s="12" t="n">
        <f aca="false">IF(D153=E153,1,0)</f>
        <v>0</v>
      </c>
      <c r="G153" s="13" t="n">
        <v>-0.0463917525773195</v>
      </c>
      <c r="H153" s="14" t="n">
        <v>0.330151500927014</v>
      </c>
      <c r="I153" s="14" t="n">
        <v>0.305066934777004</v>
      </c>
      <c r="J153" s="14" t="n">
        <v>0.364781564295982</v>
      </c>
      <c r="K153" s="12" t="s">
        <v>65</v>
      </c>
      <c r="L153" s="15" t="n">
        <v>977</v>
      </c>
      <c r="M153" s="15" t="n">
        <v>12</v>
      </c>
    </row>
    <row r="154" customFormat="false" ht="15" hidden="false" customHeight="false" outlineLevel="0" collapsed="false">
      <c r="A154" s="12" t="s">
        <v>41</v>
      </c>
      <c r="B154" s="7" t="s">
        <v>42</v>
      </c>
      <c r="C154" s="12" t="s">
        <v>70</v>
      </c>
      <c r="D154" s="7" t="s">
        <v>40</v>
      </c>
      <c r="E154" s="7" t="s">
        <v>40</v>
      </c>
      <c r="F154" s="12" t="n">
        <f aca="false">IF(D154=E154,1,0)</f>
        <v>1</v>
      </c>
      <c r="G154" s="13" t="n">
        <v>0</v>
      </c>
      <c r="H154" s="14" t="n">
        <v>0.313798570963376</v>
      </c>
      <c r="I154" s="14" t="n">
        <v>0.364778558772473</v>
      </c>
      <c r="J154" s="14" t="n">
        <v>0.321422870264152</v>
      </c>
      <c r="K154" s="12" t="s">
        <v>65</v>
      </c>
      <c r="L154" s="15" t="n">
        <v>977</v>
      </c>
      <c r="M154" s="15" t="n">
        <v>12</v>
      </c>
    </row>
    <row r="155" customFormat="false" ht="15" hidden="false" customHeight="false" outlineLevel="0" collapsed="false">
      <c r="A155" s="12" t="s">
        <v>43</v>
      </c>
      <c r="B155" s="7" t="s">
        <v>44</v>
      </c>
      <c r="C155" s="12" t="s">
        <v>70</v>
      </c>
      <c r="D155" s="7" t="s">
        <v>32</v>
      </c>
      <c r="E155" s="7" t="s">
        <v>32</v>
      </c>
      <c r="F155" s="12" t="n">
        <f aca="false">IF(D155=E155,1,0)</f>
        <v>1</v>
      </c>
      <c r="G155" s="13" t="n">
        <v>-0.0255102040816326</v>
      </c>
      <c r="H155" s="14" t="n">
        <v>0.367080704146232</v>
      </c>
      <c r="I155" s="14" t="n">
        <v>0.350018105892709</v>
      </c>
      <c r="J155" s="14" t="n">
        <v>0.282901189961059</v>
      </c>
      <c r="K155" s="12" t="s">
        <v>65</v>
      </c>
      <c r="L155" s="15" t="n">
        <v>977</v>
      </c>
      <c r="M155" s="15" t="n">
        <v>12</v>
      </c>
    </row>
    <row r="156" customFormat="false" ht="15" hidden="false" customHeight="false" outlineLevel="0" collapsed="false">
      <c r="A156" s="12" t="s">
        <v>28</v>
      </c>
      <c r="B156" s="7" t="s">
        <v>29</v>
      </c>
      <c r="C156" s="12" t="s">
        <v>71</v>
      </c>
      <c r="D156" s="7" t="s">
        <v>32</v>
      </c>
      <c r="E156" s="7" t="s">
        <v>32</v>
      </c>
      <c r="F156" s="12" t="n">
        <f aca="false">IF(D156=E156,1,0)</f>
        <v>1</v>
      </c>
      <c r="G156" s="13" t="n">
        <v>-0.0136674259681093</v>
      </c>
      <c r="H156" s="14" t="n">
        <v>0.389678159734838</v>
      </c>
      <c r="I156" s="14" t="n">
        <v>0.303678705080104</v>
      </c>
      <c r="J156" s="14" t="n">
        <v>0.306643135185057</v>
      </c>
      <c r="K156" s="12" t="s">
        <v>65</v>
      </c>
      <c r="L156" s="15" t="n">
        <v>977</v>
      </c>
      <c r="M156" s="15" t="n">
        <v>12</v>
      </c>
    </row>
    <row r="157" customFormat="false" ht="15" hidden="false" customHeight="false" outlineLevel="0" collapsed="false">
      <c r="A157" s="12" t="s">
        <v>34</v>
      </c>
      <c r="B157" s="7" t="s">
        <v>35</v>
      </c>
      <c r="C157" s="12" t="s">
        <v>71</v>
      </c>
      <c r="D157" s="7" t="s">
        <v>31</v>
      </c>
      <c r="E157" s="7" t="s">
        <v>40</v>
      </c>
      <c r="F157" s="12" t="n">
        <f aca="false">IF(D157=E157,1,0)</f>
        <v>0</v>
      </c>
      <c r="G157" s="13" t="n">
        <v>0.004</v>
      </c>
      <c r="H157" s="14" t="n">
        <v>0.321365971248339</v>
      </c>
      <c r="I157" s="14" t="n">
        <v>0.337543862245844</v>
      </c>
      <c r="J157" s="14" t="n">
        <v>0.341090166505817</v>
      </c>
      <c r="K157" s="12" t="s">
        <v>65</v>
      </c>
      <c r="L157" s="15" t="n">
        <v>977</v>
      </c>
      <c r="M157" s="15" t="n">
        <v>12</v>
      </c>
    </row>
    <row r="158" customFormat="false" ht="15" hidden="false" customHeight="false" outlineLevel="0" collapsed="false">
      <c r="A158" s="12" t="s">
        <v>36</v>
      </c>
      <c r="B158" s="7" t="s">
        <v>37</v>
      </c>
      <c r="C158" s="12" t="s">
        <v>71</v>
      </c>
      <c r="D158" s="7" t="s">
        <v>32</v>
      </c>
      <c r="E158" s="7" t="s">
        <v>32</v>
      </c>
      <c r="F158" s="12" t="n">
        <f aca="false">IF(D158=E158,1,0)</f>
        <v>1</v>
      </c>
      <c r="G158" s="13" t="n">
        <v>-0.015521064301552</v>
      </c>
      <c r="H158" s="14" t="n">
        <v>0.379274019751874</v>
      </c>
      <c r="I158" s="14" t="n">
        <v>0.274015498447481</v>
      </c>
      <c r="J158" s="14" t="n">
        <v>0.346710481800644</v>
      </c>
      <c r="K158" s="12" t="s">
        <v>65</v>
      </c>
      <c r="L158" s="15" t="n">
        <v>977</v>
      </c>
      <c r="M158" s="15" t="n">
        <v>12</v>
      </c>
    </row>
    <row r="159" customFormat="false" ht="15" hidden="false" customHeight="false" outlineLevel="0" collapsed="false">
      <c r="A159" s="12" t="s">
        <v>38</v>
      </c>
      <c r="B159" s="7" t="s">
        <v>39</v>
      </c>
      <c r="C159" s="12" t="s">
        <v>71</v>
      </c>
      <c r="D159" s="7" t="s">
        <v>31</v>
      </c>
      <c r="E159" s="7" t="s">
        <v>32</v>
      </c>
      <c r="F159" s="12" t="n">
        <f aca="false">IF(D159=E159,1,0)</f>
        <v>0</v>
      </c>
      <c r="G159" s="13" t="n">
        <v>-0.0554054054054053</v>
      </c>
      <c r="H159" s="14" t="n">
        <v>0.340279639980066</v>
      </c>
      <c r="I159" s="14" t="n">
        <v>0.310084997548652</v>
      </c>
      <c r="J159" s="14" t="n">
        <v>0.349635362471282</v>
      </c>
      <c r="K159" s="12" t="s">
        <v>65</v>
      </c>
      <c r="L159" s="15" t="n">
        <v>977</v>
      </c>
      <c r="M159" s="15" t="n">
        <v>12</v>
      </c>
    </row>
    <row r="160" customFormat="false" ht="15" hidden="false" customHeight="false" outlineLevel="0" collapsed="false">
      <c r="A160" s="12" t="s">
        <v>41</v>
      </c>
      <c r="B160" s="7" t="s">
        <v>42</v>
      </c>
      <c r="C160" s="12" t="s">
        <v>71</v>
      </c>
      <c r="D160" s="7" t="s">
        <v>40</v>
      </c>
      <c r="E160" s="7" t="s">
        <v>32</v>
      </c>
      <c r="F160" s="12" t="n">
        <f aca="false">IF(D160=E160,1,0)</f>
        <v>0</v>
      </c>
      <c r="G160" s="13" t="n">
        <v>-0.0186915887850467</v>
      </c>
      <c r="H160" s="14" t="n">
        <v>0.29752300820541</v>
      </c>
      <c r="I160" s="14" t="n">
        <v>0.374875243932494</v>
      </c>
      <c r="J160" s="14" t="n">
        <v>0.327601747862096</v>
      </c>
      <c r="K160" s="12" t="s">
        <v>65</v>
      </c>
      <c r="L160" s="15" t="n">
        <v>977</v>
      </c>
      <c r="M160" s="15" t="n">
        <v>12</v>
      </c>
    </row>
    <row r="161" customFormat="false" ht="15" hidden="false" customHeight="false" outlineLevel="0" collapsed="false">
      <c r="A161" s="12" t="s">
        <v>43</v>
      </c>
      <c r="B161" s="7" t="s">
        <v>44</v>
      </c>
      <c r="C161" s="12" t="s">
        <v>71</v>
      </c>
      <c r="D161" s="7" t="s">
        <v>32</v>
      </c>
      <c r="E161" s="7" t="s">
        <v>31</v>
      </c>
      <c r="F161" s="12" t="n">
        <f aca="false">IF(D161=E161,1,0)</f>
        <v>0</v>
      </c>
      <c r="G161" s="13" t="n">
        <v>0.0117801047120418</v>
      </c>
      <c r="H161" s="14" t="n">
        <v>0.364472433883498</v>
      </c>
      <c r="I161" s="14" t="n">
        <v>0.302332201213205</v>
      </c>
      <c r="J161" s="14" t="n">
        <v>0.333195364903297</v>
      </c>
      <c r="K161" s="12" t="s">
        <v>65</v>
      </c>
      <c r="L161" s="15" t="n">
        <v>977</v>
      </c>
      <c r="M161" s="15" t="n">
        <v>12</v>
      </c>
    </row>
    <row r="162" customFormat="false" ht="15" hidden="false" customHeight="false" outlineLevel="0" collapsed="false">
      <c r="A162" s="12" t="s">
        <v>28</v>
      </c>
      <c r="B162" s="7" t="s">
        <v>29</v>
      </c>
      <c r="C162" s="12" t="s">
        <v>72</v>
      </c>
      <c r="D162" s="7" t="s">
        <v>31</v>
      </c>
      <c r="E162" s="7" t="s">
        <v>40</v>
      </c>
      <c r="F162" s="12" t="n">
        <f aca="false">IF(D162=E162,1,0)</f>
        <v>0</v>
      </c>
      <c r="G162" s="13" t="n">
        <v>-0.0046189376443418</v>
      </c>
      <c r="H162" s="14" t="n">
        <v>0.35114387971266</v>
      </c>
      <c r="I162" s="14" t="n">
        <v>0.267613949552472</v>
      </c>
      <c r="J162" s="14" t="n">
        <v>0.381242170734868</v>
      </c>
      <c r="K162" s="12" t="s">
        <v>65</v>
      </c>
      <c r="L162" s="15" t="n">
        <v>977</v>
      </c>
      <c r="M162" s="15" t="n">
        <v>12</v>
      </c>
    </row>
    <row r="163" customFormat="false" ht="15" hidden="false" customHeight="false" outlineLevel="0" collapsed="false">
      <c r="A163" s="12" t="s">
        <v>34</v>
      </c>
      <c r="B163" s="7" t="s">
        <v>35</v>
      </c>
      <c r="C163" s="12" t="s">
        <v>72</v>
      </c>
      <c r="D163" s="7" t="s">
        <v>32</v>
      </c>
      <c r="E163" s="7" t="s">
        <v>32</v>
      </c>
      <c r="F163" s="12" t="n">
        <f aca="false">IF(D163=E163,1,0)</f>
        <v>1</v>
      </c>
      <c r="G163" s="13" t="n">
        <v>-0.0258964143426294</v>
      </c>
      <c r="H163" s="14" t="n">
        <v>0.392468635682613</v>
      </c>
      <c r="I163" s="14" t="n">
        <v>0.269728303352286</v>
      </c>
      <c r="J163" s="14" t="n">
        <v>0.3378030609651</v>
      </c>
      <c r="K163" s="12" t="s">
        <v>65</v>
      </c>
      <c r="L163" s="15" t="n">
        <v>977</v>
      </c>
      <c r="M163" s="15" t="n">
        <v>12</v>
      </c>
    </row>
    <row r="164" customFormat="false" ht="15" hidden="false" customHeight="false" outlineLevel="0" collapsed="false">
      <c r="A164" s="12" t="s">
        <v>36</v>
      </c>
      <c r="B164" s="7" t="s">
        <v>37</v>
      </c>
      <c r="C164" s="12" t="s">
        <v>72</v>
      </c>
      <c r="D164" s="7" t="s">
        <v>32</v>
      </c>
      <c r="E164" s="7" t="s">
        <v>31</v>
      </c>
      <c r="F164" s="12" t="n">
        <f aca="false">IF(D164=E164,1,0)</f>
        <v>0</v>
      </c>
      <c r="G164" s="13" t="n">
        <v>0.0225225225225225</v>
      </c>
      <c r="H164" s="14" t="n">
        <v>0.388726436420277</v>
      </c>
      <c r="I164" s="14" t="n">
        <v>0.284219634945402</v>
      </c>
      <c r="J164" s="14" t="n">
        <v>0.327053928634321</v>
      </c>
      <c r="K164" s="12" t="s">
        <v>65</v>
      </c>
      <c r="L164" s="15" t="n">
        <v>977</v>
      </c>
      <c r="M164" s="15" t="n">
        <v>12</v>
      </c>
    </row>
    <row r="165" customFormat="false" ht="15" hidden="false" customHeight="false" outlineLevel="0" collapsed="false">
      <c r="A165" s="12" t="s">
        <v>38</v>
      </c>
      <c r="B165" s="7" t="s">
        <v>39</v>
      </c>
      <c r="C165" s="12" t="s">
        <v>72</v>
      </c>
      <c r="D165" s="7" t="s">
        <v>32</v>
      </c>
      <c r="E165" s="7" t="s">
        <v>32</v>
      </c>
      <c r="F165" s="12" t="n">
        <f aca="false">IF(D165=E165,1,0)</f>
        <v>1</v>
      </c>
      <c r="G165" s="13" t="n">
        <v>-0.0257510729613733</v>
      </c>
      <c r="H165" s="14" t="n">
        <v>0.349435375592632</v>
      </c>
      <c r="I165" s="14" t="n">
        <v>0.303352132336625</v>
      </c>
      <c r="J165" s="14" t="n">
        <v>0.347212492070743</v>
      </c>
      <c r="K165" s="12" t="s">
        <v>65</v>
      </c>
      <c r="L165" s="15" t="n">
        <v>977</v>
      </c>
      <c r="M165" s="15" t="n">
        <v>12</v>
      </c>
    </row>
    <row r="166" customFormat="false" ht="15" hidden="false" customHeight="false" outlineLevel="0" collapsed="false">
      <c r="A166" s="12" t="s">
        <v>41</v>
      </c>
      <c r="B166" s="7" t="s">
        <v>42</v>
      </c>
      <c r="C166" s="12" t="s">
        <v>72</v>
      </c>
      <c r="D166" s="7" t="s">
        <v>40</v>
      </c>
      <c r="E166" s="7" t="s">
        <v>31</v>
      </c>
      <c r="F166" s="12" t="n">
        <f aca="false">IF(D166=E166,1,0)</f>
        <v>0</v>
      </c>
      <c r="G166" s="13" t="n">
        <v>0.0071428571428571</v>
      </c>
      <c r="H166" s="14" t="n">
        <v>0.309790096040626</v>
      </c>
      <c r="I166" s="14" t="n">
        <v>0.367711566032729</v>
      </c>
      <c r="J166" s="14" t="n">
        <v>0.322498337926645</v>
      </c>
      <c r="K166" s="12" t="s">
        <v>65</v>
      </c>
      <c r="L166" s="15" t="n">
        <v>977</v>
      </c>
      <c r="M166" s="15" t="n">
        <v>12</v>
      </c>
    </row>
    <row r="167" customFormat="false" ht="15" hidden="false" customHeight="false" outlineLevel="0" collapsed="false">
      <c r="A167" s="12" t="s">
        <v>43</v>
      </c>
      <c r="B167" s="7" t="s">
        <v>44</v>
      </c>
      <c r="C167" s="12" t="s">
        <v>72</v>
      </c>
      <c r="D167" s="7" t="s">
        <v>32</v>
      </c>
      <c r="E167" s="7" t="s">
        <v>32</v>
      </c>
      <c r="F167" s="12" t="n">
        <f aca="false">IF(D167=E167,1,0)</f>
        <v>1</v>
      </c>
      <c r="G167" s="13" t="n">
        <v>-0.0077619663648123</v>
      </c>
      <c r="H167" s="14" t="n">
        <v>0.360884040831814</v>
      </c>
      <c r="I167" s="14" t="n">
        <v>0.325105882905751</v>
      </c>
      <c r="J167" s="14" t="n">
        <v>0.314010076262435</v>
      </c>
      <c r="K167" s="12" t="s">
        <v>65</v>
      </c>
      <c r="L167" s="15" t="n">
        <v>977</v>
      </c>
      <c r="M167" s="15" t="n">
        <v>12</v>
      </c>
    </row>
    <row r="168" customFormat="false" ht="15" hidden="false" customHeight="false" outlineLevel="0" collapsed="false">
      <c r="A168" s="12" t="s">
        <v>28</v>
      </c>
      <c r="B168" s="7" t="s">
        <v>29</v>
      </c>
      <c r="C168" s="12" t="s">
        <v>73</v>
      </c>
      <c r="D168" s="7" t="s">
        <v>31</v>
      </c>
      <c r="E168" s="7" t="s">
        <v>32</v>
      </c>
      <c r="F168" s="12" t="n">
        <f aca="false">IF(D168=E168,1,0)</f>
        <v>0</v>
      </c>
      <c r="G168" s="13" t="n">
        <v>-0.037122969837587</v>
      </c>
      <c r="H168" s="14" t="n">
        <v>0.344092291663097</v>
      </c>
      <c r="I168" s="14" t="n">
        <v>0.255432444101439</v>
      </c>
      <c r="J168" s="14" t="n">
        <v>0.400475264235464</v>
      </c>
      <c r="K168" s="12" t="s">
        <v>65</v>
      </c>
      <c r="L168" s="15" t="n">
        <v>977</v>
      </c>
      <c r="M168" s="15" t="n">
        <v>12</v>
      </c>
    </row>
    <row r="169" customFormat="false" ht="15" hidden="false" customHeight="false" outlineLevel="0" collapsed="false">
      <c r="A169" s="12" t="s">
        <v>34</v>
      </c>
      <c r="B169" s="7" t="s">
        <v>35</v>
      </c>
      <c r="C169" s="12" t="s">
        <v>73</v>
      </c>
      <c r="D169" s="7" t="s">
        <v>32</v>
      </c>
      <c r="E169" s="7" t="s">
        <v>31</v>
      </c>
      <c r="F169" s="12" t="n">
        <f aca="false">IF(D169=E169,1,0)</f>
        <v>0</v>
      </c>
      <c r="G169" s="13" t="n">
        <v>0.016359918200409</v>
      </c>
      <c r="H169" s="14" t="n">
        <v>0.362090938983607</v>
      </c>
      <c r="I169" s="14" t="n">
        <v>0.278138501545391</v>
      </c>
      <c r="J169" s="14" t="n">
        <v>0.359770559471002</v>
      </c>
      <c r="K169" s="12" t="s">
        <v>65</v>
      </c>
      <c r="L169" s="15" t="n">
        <v>977</v>
      </c>
      <c r="M169" s="15" t="n">
        <v>12</v>
      </c>
    </row>
    <row r="170" customFormat="false" ht="15" hidden="false" customHeight="false" outlineLevel="0" collapsed="false">
      <c r="A170" s="12" t="s">
        <v>36</v>
      </c>
      <c r="B170" s="7" t="s">
        <v>37</v>
      </c>
      <c r="C170" s="12" t="s">
        <v>73</v>
      </c>
      <c r="D170" s="7" t="s">
        <v>32</v>
      </c>
      <c r="E170" s="7" t="s">
        <v>40</v>
      </c>
      <c r="F170" s="12" t="n">
        <f aca="false">IF(D170=E170,1,0)</f>
        <v>0</v>
      </c>
      <c r="G170" s="13" t="n">
        <v>-0.0022026431718061</v>
      </c>
      <c r="H170" s="14" t="n">
        <v>0.386827595604603</v>
      </c>
      <c r="I170" s="14" t="n">
        <v>0.279468213394514</v>
      </c>
      <c r="J170" s="14" t="n">
        <v>0.333704191000882</v>
      </c>
      <c r="K170" s="12" t="s">
        <v>65</v>
      </c>
      <c r="L170" s="15" t="n">
        <v>977</v>
      </c>
      <c r="M170" s="15" t="n">
        <v>12</v>
      </c>
    </row>
    <row r="171" customFormat="false" ht="15" hidden="false" customHeight="false" outlineLevel="0" collapsed="false">
      <c r="A171" s="12" t="s">
        <v>38</v>
      </c>
      <c r="B171" s="7" t="s">
        <v>39</v>
      </c>
      <c r="C171" s="12" t="s">
        <v>73</v>
      </c>
      <c r="D171" s="7" t="s">
        <v>31</v>
      </c>
      <c r="E171" s="7" t="s">
        <v>32</v>
      </c>
      <c r="F171" s="12" t="n">
        <f aca="false">IF(D171=E171,1,0)</f>
        <v>0</v>
      </c>
      <c r="G171" s="13" t="n">
        <v>-0.0425844346549192</v>
      </c>
      <c r="H171" s="14" t="n">
        <v>0.353569364287782</v>
      </c>
      <c r="I171" s="14" t="n">
        <v>0.254568897166403</v>
      </c>
      <c r="J171" s="14" t="n">
        <v>0.391861738545815</v>
      </c>
      <c r="K171" s="12" t="s">
        <v>65</v>
      </c>
      <c r="L171" s="15" t="n">
        <v>977</v>
      </c>
      <c r="M171" s="15" t="n">
        <v>12</v>
      </c>
    </row>
    <row r="172" customFormat="false" ht="15" hidden="false" customHeight="false" outlineLevel="0" collapsed="false">
      <c r="A172" s="12" t="s">
        <v>41</v>
      </c>
      <c r="B172" s="7" t="s">
        <v>42</v>
      </c>
      <c r="C172" s="12" t="s">
        <v>73</v>
      </c>
      <c r="D172" s="7" t="s">
        <v>40</v>
      </c>
      <c r="E172" s="7" t="s">
        <v>32</v>
      </c>
      <c r="F172" s="12" t="n">
        <f aca="false">IF(D172=E172,1,0)</f>
        <v>0</v>
      </c>
      <c r="G172" s="13" t="n">
        <v>-0.0520094562647753</v>
      </c>
      <c r="H172" s="14" t="n">
        <v>0.325416314058053</v>
      </c>
      <c r="I172" s="14" t="n">
        <v>0.350187949784938</v>
      </c>
      <c r="J172" s="14" t="n">
        <v>0.324395736157009</v>
      </c>
      <c r="K172" s="12" t="s">
        <v>65</v>
      </c>
      <c r="L172" s="15" t="n">
        <v>977</v>
      </c>
      <c r="M172" s="15" t="n">
        <v>12</v>
      </c>
    </row>
    <row r="173" customFormat="false" ht="15" hidden="false" customHeight="false" outlineLevel="0" collapsed="false">
      <c r="A173" s="12" t="s">
        <v>43</v>
      </c>
      <c r="B173" s="7" t="s">
        <v>44</v>
      </c>
      <c r="C173" s="12" t="s">
        <v>73</v>
      </c>
      <c r="D173" s="7" t="s">
        <v>32</v>
      </c>
      <c r="E173" s="7" t="s">
        <v>31</v>
      </c>
      <c r="F173" s="12" t="n">
        <f aca="false">IF(D173=E173,1,0)</f>
        <v>0</v>
      </c>
      <c r="G173" s="13" t="n">
        <v>0.015645371577575</v>
      </c>
      <c r="H173" s="14" t="n">
        <v>0.394490601788637</v>
      </c>
      <c r="I173" s="14" t="n">
        <v>0.30637503378797</v>
      </c>
      <c r="J173" s="14" t="n">
        <v>0.299134364423393</v>
      </c>
      <c r="K173" s="12" t="s">
        <v>65</v>
      </c>
      <c r="L173" s="15" t="n">
        <v>977</v>
      </c>
      <c r="M173" s="15" t="n">
        <v>12</v>
      </c>
    </row>
    <row r="174" customFormat="false" ht="15" hidden="false" customHeight="false" outlineLevel="0" collapsed="false">
      <c r="A174" s="12" t="s">
        <v>28</v>
      </c>
      <c r="B174" s="7" t="s">
        <v>29</v>
      </c>
      <c r="C174" s="12" t="s">
        <v>74</v>
      </c>
      <c r="D174" s="7" t="s">
        <v>32</v>
      </c>
      <c r="E174" s="7" t="s">
        <v>32</v>
      </c>
      <c r="F174" s="12" t="n">
        <f aca="false">IF(D174=E174,1,0)</f>
        <v>1</v>
      </c>
      <c r="G174" s="13" t="n">
        <v>-0.0265060240963855</v>
      </c>
      <c r="H174" s="14" t="n">
        <v>0.374309992466564</v>
      </c>
      <c r="I174" s="14" t="n">
        <v>0.295956338136898</v>
      </c>
      <c r="J174" s="14" t="n">
        <v>0.329733669396538</v>
      </c>
      <c r="K174" s="12" t="s">
        <v>65</v>
      </c>
      <c r="L174" s="15" t="n">
        <v>977</v>
      </c>
      <c r="M174" s="15" t="n">
        <v>12</v>
      </c>
    </row>
    <row r="175" customFormat="false" ht="15" hidden="false" customHeight="false" outlineLevel="0" collapsed="false">
      <c r="A175" s="12" t="s">
        <v>34</v>
      </c>
      <c r="B175" s="7" t="s">
        <v>35</v>
      </c>
      <c r="C175" s="12" t="s">
        <v>74</v>
      </c>
      <c r="D175" s="7" t="s">
        <v>31</v>
      </c>
      <c r="E175" s="7" t="s">
        <v>40</v>
      </c>
      <c r="F175" s="12" t="n">
        <f aca="false">IF(D175=E175,1,0)</f>
        <v>0</v>
      </c>
      <c r="G175" s="13" t="n">
        <v>0</v>
      </c>
      <c r="H175" s="14" t="n">
        <v>0.352910527973351</v>
      </c>
      <c r="I175" s="14" t="n">
        <v>0.256538064779623</v>
      </c>
      <c r="J175" s="14" t="n">
        <v>0.390551407247027</v>
      </c>
      <c r="K175" s="12" t="s">
        <v>65</v>
      </c>
      <c r="L175" s="15" t="n">
        <v>977</v>
      </c>
      <c r="M175" s="15" t="n">
        <v>12</v>
      </c>
    </row>
    <row r="176" customFormat="false" ht="15" hidden="false" customHeight="false" outlineLevel="0" collapsed="false">
      <c r="A176" s="12" t="s">
        <v>36</v>
      </c>
      <c r="B176" s="7" t="s">
        <v>37</v>
      </c>
      <c r="C176" s="12" t="s">
        <v>74</v>
      </c>
      <c r="D176" s="7" t="s">
        <v>31</v>
      </c>
      <c r="E176" s="7" t="s">
        <v>32</v>
      </c>
      <c r="F176" s="12" t="n">
        <f aca="false">IF(D176=E176,1,0)</f>
        <v>0</v>
      </c>
      <c r="G176" s="13" t="n">
        <v>-0.0110375275938189</v>
      </c>
      <c r="H176" s="14" t="n">
        <v>0.362329292825957</v>
      </c>
      <c r="I176" s="14" t="n">
        <v>0.251916244270994</v>
      </c>
      <c r="J176" s="14" t="n">
        <v>0.38575446290305</v>
      </c>
      <c r="K176" s="12" t="s">
        <v>65</v>
      </c>
      <c r="L176" s="15" t="n">
        <v>977</v>
      </c>
      <c r="M176" s="15" t="n">
        <v>12</v>
      </c>
    </row>
    <row r="177" customFormat="false" ht="15" hidden="false" customHeight="false" outlineLevel="0" collapsed="false">
      <c r="A177" s="12" t="s">
        <v>38</v>
      </c>
      <c r="B177" s="7" t="s">
        <v>39</v>
      </c>
      <c r="C177" s="12" t="s">
        <v>74</v>
      </c>
      <c r="D177" s="7" t="s">
        <v>31</v>
      </c>
      <c r="E177" s="7" t="s">
        <v>31</v>
      </c>
      <c r="F177" s="12" t="n">
        <f aca="false">IF(D177=E177,1,0)</f>
        <v>1</v>
      </c>
      <c r="G177" s="13" t="n">
        <v>0.0429447852760735</v>
      </c>
      <c r="H177" s="14" t="n">
        <v>0.370543707678243</v>
      </c>
      <c r="I177" s="14" t="n">
        <v>0.257937606331724</v>
      </c>
      <c r="J177" s="14" t="n">
        <v>0.371518685990032</v>
      </c>
      <c r="K177" s="12" t="s">
        <v>65</v>
      </c>
      <c r="L177" s="15" t="n">
        <v>977</v>
      </c>
      <c r="M177" s="15" t="n">
        <v>12</v>
      </c>
    </row>
    <row r="178" customFormat="false" ht="15" hidden="false" customHeight="false" outlineLevel="0" collapsed="false">
      <c r="A178" s="12" t="s">
        <v>41</v>
      </c>
      <c r="B178" s="7" t="s">
        <v>42</v>
      </c>
      <c r="C178" s="12" t="s">
        <v>74</v>
      </c>
      <c r="D178" s="7" t="s">
        <v>32</v>
      </c>
      <c r="E178" s="7" t="s">
        <v>32</v>
      </c>
      <c r="F178" s="12" t="n">
        <f aca="false">IF(D178=E178,1,0)</f>
        <v>1</v>
      </c>
      <c r="G178" s="13" t="n">
        <v>-0.0149625935162094</v>
      </c>
      <c r="H178" s="14" t="n">
        <v>0.394147713322479</v>
      </c>
      <c r="I178" s="14" t="n">
        <v>0.268344554968671</v>
      </c>
      <c r="J178" s="14" t="n">
        <v>0.33750773170885</v>
      </c>
      <c r="K178" s="12" t="s">
        <v>65</v>
      </c>
      <c r="L178" s="15" t="n">
        <v>977</v>
      </c>
      <c r="M178" s="15" t="n">
        <v>12</v>
      </c>
    </row>
    <row r="179" customFormat="false" ht="15" hidden="false" customHeight="false" outlineLevel="0" collapsed="false">
      <c r="A179" s="12" t="s">
        <v>43</v>
      </c>
      <c r="B179" s="7" t="s">
        <v>44</v>
      </c>
      <c r="C179" s="12" t="s">
        <v>74</v>
      </c>
      <c r="D179" s="7" t="s">
        <v>32</v>
      </c>
      <c r="E179" s="7" t="s">
        <v>32</v>
      </c>
      <c r="F179" s="12" t="n">
        <f aca="false">IF(D179=E179,1,0)</f>
        <v>1</v>
      </c>
      <c r="G179" s="13" t="n">
        <v>-0.0141206675224647</v>
      </c>
      <c r="H179" s="14" t="n">
        <v>0.386894867019827</v>
      </c>
      <c r="I179" s="14" t="n">
        <v>0.262390440714047</v>
      </c>
      <c r="J179" s="14" t="n">
        <v>0.350714692266126</v>
      </c>
      <c r="K179" s="12" t="s">
        <v>65</v>
      </c>
      <c r="L179" s="15" t="n">
        <v>977</v>
      </c>
      <c r="M179" s="15" t="n">
        <v>12</v>
      </c>
    </row>
    <row r="180" customFormat="false" ht="15" hidden="false" customHeight="false" outlineLevel="0" collapsed="false">
      <c r="A180" s="12" t="s">
        <v>28</v>
      </c>
      <c r="B180" s="7" t="s">
        <v>29</v>
      </c>
      <c r="C180" s="12" t="s">
        <v>75</v>
      </c>
      <c r="D180" s="7" t="s">
        <v>32</v>
      </c>
      <c r="E180" s="7" t="s">
        <v>32</v>
      </c>
      <c r="F180" s="12" t="n">
        <f aca="false">IF(D180=E180,1,0)</f>
        <v>1</v>
      </c>
      <c r="G180" s="13" t="n">
        <v>-0.051980198019802</v>
      </c>
      <c r="H180" s="14" t="n">
        <v>0.355629194004509</v>
      </c>
      <c r="I180" s="14" t="n">
        <v>0.289776173084164</v>
      </c>
      <c r="J180" s="14" t="n">
        <v>0.354594632911327</v>
      </c>
      <c r="K180" s="12" t="s">
        <v>65</v>
      </c>
      <c r="L180" s="15" t="n">
        <v>977</v>
      </c>
      <c r="M180" s="15" t="n">
        <v>12</v>
      </c>
    </row>
    <row r="181" customFormat="false" ht="15" hidden="false" customHeight="false" outlineLevel="0" collapsed="false">
      <c r="A181" s="12" t="s">
        <v>34</v>
      </c>
      <c r="B181" s="7" t="s">
        <v>35</v>
      </c>
      <c r="C181" s="12" t="s">
        <v>75</v>
      </c>
      <c r="D181" s="7" t="s">
        <v>31</v>
      </c>
      <c r="E181" s="7" t="s">
        <v>32</v>
      </c>
      <c r="F181" s="12" t="n">
        <f aca="false">IF(D181=E181,1,0)</f>
        <v>0</v>
      </c>
      <c r="G181" s="13" t="n">
        <v>-0.0140845070422535</v>
      </c>
      <c r="H181" s="14" t="n">
        <v>0.341891757933412</v>
      </c>
      <c r="I181" s="14" t="n">
        <v>0.295552216671236</v>
      </c>
      <c r="J181" s="14" t="n">
        <v>0.362556025395352</v>
      </c>
      <c r="K181" s="12" t="s">
        <v>65</v>
      </c>
      <c r="L181" s="15" t="n">
        <v>977</v>
      </c>
      <c r="M181" s="15" t="n">
        <v>12</v>
      </c>
    </row>
    <row r="182" customFormat="false" ht="15" hidden="false" customHeight="false" outlineLevel="0" collapsed="false">
      <c r="A182" s="12" t="s">
        <v>36</v>
      </c>
      <c r="B182" s="7" t="s">
        <v>37</v>
      </c>
      <c r="C182" s="12" t="s">
        <v>75</v>
      </c>
      <c r="D182" s="7" t="s">
        <v>32</v>
      </c>
      <c r="E182" s="7" t="s">
        <v>32</v>
      </c>
      <c r="F182" s="12" t="n">
        <f aca="false">IF(D182=E182,1,0)</f>
        <v>1</v>
      </c>
      <c r="G182" s="13" t="n">
        <v>-0.015625</v>
      </c>
      <c r="H182" s="14" t="n">
        <v>0.396057394242088</v>
      </c>
      <c r="I182" s="14" t="n">
        <v>0.272266343304982</v>
      </c>
      <c r="J182" s="14" t="n">
        <v>0.33167626245293</v>
      </c>
      <c r="K182" s="12" t="s">
        <v>65</v>
      </c>
      <c r="L182" s="15" t="n">
        <v>977</v>
      </c>
      <c r="M182" s="15" t="n">
        <v>12</v>
      </c>
    </row>
    <row r="183" customFormat="false" ht="15" hidden="false" customHeight="false" outlineLevel="0" collapsed="false">
      <c r="A183" s="12" t="s">
        <v>38</v>
      </c>
      <c r="B183" s="7" t="s">
        <v>39</v>
      </c>
      <c r="C183" s="12" t="s">
        <v>75</v>
      </c>
      <c r="D183" s="7" t="s">
        <v>31</v>
      </c>
      <c r="E183" s="7" t="s">
        <v>32</v>
      </c>
      <c r="F183" s="12" t="n">
        <f aca="false">IF(D183=E183,1,0)</f>
        <v>0</v>
      </c>
      <c r="G183" s="13" t="n">
        <v>-0.0720588235294117</v>
      </c>
      <c r="H183" s="14" t="n">
        <v>0.342223566921448</v>
      </c>
      <c r="I183" s="14" t="n">
        <v>0.277519314757476</v>
      </c>
      <c r="J183" s="14" t="n">
        <v>0.380257118321076</v>
      </c>
      <c r="K183" s="12" t="s">
        <v>65</v>
      </c>
      <c r="L183" s="15" t="n">
        <v>977</v>
      </c>
      <c r="M183" s="15" t="n">
        <v>12</v>
      </c>
    </row>
    <row r="184" customFormat="false" ht="15" hidden="false" customHeight="false" outlineLevel="0" collapsed="false">
      <c r="A184" s="12" t="s">
        <v>41</v>
      </c>
      <c r="B184" s="7" t="s">
        <v>42</v>
      </c>
      <c r="C184" s="12" t="s">
        <v>75</v>
      </c>
      <c r="D184" s="7" t="s">
        <v>32</v>
      </c>
      <c r="E184" s="7" t="s">
        <v>40</v>
      </c>
      <c r="F184" s="12" t="n">
        <f aca="false">IF(D184=E184,1,0)</f>
        <v>0</v>
      </c>
      <c r="G184" s="13" t="n">
        <v>-0.0025316455696202</v>
      </c>
      <c r="H184" s="14" t="n">
        <v>0.368732752223789</v>
      </c>
      <c r="I184" s="14" t="n">
        <v>0.301863841020758</v>
      </c>
      <c r="J184" s="14" t="n">
        <v>0.329403406755453</v>
      </c>
      <c r="K184" s="12" t="s">
        <v>65</v>
      </c>
      <c r="L184" s="15" t="n">
        <v>977</v>
      </c>
      <c r="M184" s="15" t="n">
        <v>12</v>
      </c>
    </row>
    <row r="185" customFormat="false" ht="15" hidden="false" customHeight="false" outlineLevel="0" collapsed="false">
      <c r="A185" s="12" t="s">
        <v>43</v>
      </c>
      <c r="B185" s="7" t="s">
        <v>44</v>
      </c>
      <c r="C185" s="12" t="s">
        <v>75</v>
      </c>
      <c r="D185" s="7" t="s">
        <v>40</v>
      </c>
      <c r="E185" s="7" t="s">
        <v>31</v>
      </c>
      <c r="F185" s="12" t="n">
        <f aca="false">IF(D185=E185,1,0)</f>
        <v>0</v>
      </c>
      <c r="G185" s="13" t="n">
        <v>0.0130208333333332</v>
      </c>
      <c r="H185" s="14" t="n">
        <v>0.327643199226883</v>
      </c>
      <c r="I185" s="14" t="n">
        <v>0.367993172624168</v>
      </c>
      <c r="J185" s="14" t="n">
        <v>0.304363628148949</v>
      </c>
      <c r="K185" s="12" t="s">
        <v>65</v>
      </c>
      <c r="L185" s="15" t="n">
        <v>977</v>
      </c>
      <c r="M185" s="15" t="n">
        <v>12</v>
      </c>
    </row>
    <row r="186" customFormat="false" ht="15" hidden="false" customHeight="false" outlineLevel="0" collapsed="false">
      <c r="A186" s="12" t="s">
        <v>28</v>
      </c>
      <c r="B186" s="7" t="s">
        <v>29</v>
      </c>
      <c r="C186" s="12" t="s">
        <v>76</v>
      </c>
      <c r="D186" s="7" t="s">
        <v>32</v>
      </c>
      <c r="E186" s="7" t="s">
        <v>40</v>
      </c>
      <c r="F186" s="12" t="n">
        <f aca="false">IF(D186=E186,1,0)</f>
        <v>0</v>
      </c>
      <c r="G186" s="13" t="n">
        <v>0</v>
      </c>
      <c r="H186" s="14" t="n">
        <v>0.35572266578553</v>
      </c>
      <c r="I186" s="14" t="n">
        <v>0.303808393004466</v>
      </c>
      <c r="J186" s="14" t="n">
        <v>0.340468941210004</v>
      </c>
      <c r="K186" s="12" t="s">
        <v>65</v>
      </c>
      <c r="L186" s="15" t="n">
        <v>977</v>
      </c>
      <c r="M186" s="15" t="n">
        <v>12</v>
      </c>
    </row>
    <row r="187" customFormat="false" ht="15" hidden="false" customHeight="false" outlineLevel="0" collapsed="false">
      <c r="A187" s="12" t="s">
        <v>34</v>
      </c>
      <c r="B187" s="7" t="s">
        <v>35</v>
      </c>
      <c r="C187" s="12" t="s">
        <v>76</v>
      </c>
      <c r="D187" s="7" t="s">
        <v>31</v>
      </c>
      <c r="E187" s="7" t="s">
        <v>32</v>
      </c>
      <c r="F187" s="12" t="n">
        <f aca="false">IF(D187=E187,1,0)</f>
        <v>0</v>
      </c>
      <c r="G187" s="13" t="n">
        <v>-0.0204081632653061</v>
      </c>
      <c r="H187" s="14" t="n">
        <v>0.335473646348131</v>
      </c>
      <c r="I187" s="14" t="n">
        <v>0.302632488858556</v>
      </c>
      <c r="J187" s="14" t="n">
        <v>0.361893864793313</v>
      </c>
      <c r="K187" s="12" t="s">
        <v>65</v>
      </c>
      <c r="L187" s="15" t="n">
        <v>977</v>
      </c>
      <c r="M187" s="15" t="n">
        <v>12</v>
      </c>
    </row>
    <row r="188" customFormat="false" ht="15" hidden="false" customHeight="false" outlineLevel="0" collapsed="false">
      <c r="A188" s="12" t="s">
        <v>36</v>
      </c>
      <c r="B188" s="7" t="s">
        <v>37</v>
      </c>
      <c r="C188" s="12" t="s">
        <v>76</v>
      </c>
      <c r="D188" s="7" t="s">
        <v>32</v>
      </c>
      <c r="E188" s="7" t="s">
        <v>32</v>
      </c>
      <c r="F188" s="12" t="n">
        <f aca="false">IF(D188=E188,1,0)</f>
        <v>1</v>
      </c>
      <c r="G188" s="13" t="n">
        <v>-0.0090702947845805</v>
      </c>
      <c r="H188" s="14" t="n">
        <v>0.38626143406337</v>
      </c>
      <c r="I188" s="14" t="n">
        <v>0.281633159871935</v>
      </c>
      <c r="J188" s="14" t="n">
        <v>0.332105406064695</v>
      </c>
      <c r="K188" s="12" t="s">
        <v>65</v>
      </c>
      <c r="L188" s="15" t="n">
        <v>977</v>
      </c>
      <c r="M188" s="15" t="n">
        <v>12</v>
      </c>
    </row>
    <row r="189" customFormat="false" ht="15" hidden="false" customHeight="false" outlineLevel="0" collapsed="false">
      <c r="A189" s="12" t="s">
        <v>38</v>
      </c>
      <c r="B189" s="7" t="s">
        <v>39</v>
      </c>
      <c r="C189" s="12" t="s">
        <v>76</v>
      </c>
      <c r="D189" s="7" t="s">
        <v>31</v>
      </c>
      <c r="E189" s="7" t="s">
        <v>31</v>
      </c>
      <c r="F189" s="12" t="n">
        <f aca="false">IF(D189=E189,1,0)</f>
        <v>1</v>
      </c>
      <c r="G189" s="13" t="n">
        <v>0.0237717908082408</v>
      </c>
      <c r="H189" s="14" t="n">
        <v>0.295817080798409</v>
      </c>
      <c r="I189" s="14" t="n">
        <v>0.27886632681763</v>
      </c>
      <c r="J189" s="14" t="n">
        <v>0.425316592383961</v>
      </c>
      <c r="K189" s="12" t="s">
        <v>65</v>
      </c>
      <c r="L189" s="15" t="n">
        <v>977</v>
      </c>
      <c r="M189" s="15" t="n">
        <v>12</v>
      </c>
    </row>
    <row r="190" customFormat="false" ht="15" hidden="false" customHeight="false" outlineLevel="0" collapsed="false">
      <c r="A190" s="12" t="s">
        <v>41</v>
      </c>
      <c r="B190" s="7" t="s">
        <v>42</v>
      </c>
      <c r="C190" s="12" t="s">
        <v>76</v>
      </c>
      <c r="D190" s="7" t="s">
        <v>31</v>
      </c>
      <c r="E190" s="7" t="s">
        <v>31</v>
      </c>
      <c r="F190" s="12" t="n">
        <f aca="false">IF(D190=E190,1,0)</f>
        <v>1</v>
      </c>
      <c r="G190" s="13" t="n">
        <v>0.0786802030456852</v>
      </c>
      <c r="H190" s="14" t="n">
        <v>0.348315443971336</v>
      </c>
      <c r="I190" s="14" t="n">
        <v>0.302892637346153</v>
      </c>
      <c r="J190" s="14" t="n">
        <v>0.348791918682511</v>
      </c>
      <c r="K190" s="12" t="s">
        <v>65</v>
      </c>
      <c r="L190" s="15" t="n">
        <v>977</v>
      </c>
      <c r="M190" s="15" t="n">
        <v>12</v>
      </c>
    </row>
    <row r="191" customFormat="false" ht="15" hidden="false" customHeight="false" outlineLevel="0" collapsed="false">
      <c r="A191" s="12" t="s">
        <v>43</v>
      </c>
      <c r="B191" s="7" t="s">
        <v>44</v>
      </c>
      <c r="C191" s="12" t="s">
        <v>76</v>
      </c>
      <c r="D191" s="7" t="s">
        <v>31</v>
      </c>
      <c r="E191" s="7" t="s">
        <v>40</v>
      </c>
      <c r="F191" s="12" t="n">
        <f aca="false">IF(D191=E191,1,0)</f>
        <v>0</v>
      </c>
      <c r="G191" s="13" t="n">
        <v>0.0012853470437019</v>
      </c>
      <c r="H191" s="14" t="n">
        <v>0.323246748909845</v>
      </c>
      <c r="I191" s="14" t="n">
        <v>0.275687088298822</v>
      </c>
      <c r="J191" s="14" t="n">
        <v>0.401066162791333</v>
      </c>
      <c r="K191" s="12" t="s">
        <v>65</v>
      </c>
      <c r="L191" s="15" t="n">
        <v>977</v>
      </c>
      <c r="M191" s="15" t="n">
        <v>12</v>
      </c>
    </row>
    <row r="192" customFormat="false" ht="15" hidden="false" customHeight="false" outlineLevel="0" collapsed="false">
      <c r="A192" s="12" t="s">
        <v>28</v>
      </c>
      <c r="B192" s="7" t="s">
        <v>29</v>
      </c>
      <c r="C192" s="12" t="s">
        <v>77</v>
      </c>
      <c r="D192" s="7" t="s">
        <v>32</v>
      </c>
      <c r="E192" s="7" t="s">
        <v>31</v>
      </c>
      <c r="F192" s="12" t="n">
        <f aca="false">IF(D192=E192,1,0)</f>
        <v>0</v>
      </c>
      <c r="G192" s="13" t="n">
        <v>0.0600522193211487</v>
      </c>
      <c r="H192" s="14" t="n">
        <v>0.358760781111013</v>
      </c>
      <c r="I192" s="14" t="n">
        <v>0.288957512863727</v>
      </c>
      <c r="J192" s="14" t="n">
        <v>0.35228170602526</v>
      </c>
      <c r="K192" s="12" t="s">
        <v>65</v>
      </c>
      <c r="L192" s="15" t="n">
        <v>977</v>
      </c>
      <c r="M192" s="15" t="n">
        <v>12</v>
      </c>
    </row>
    <row r="193" customFormat="false" ht="15" hidden="false" customHeight="false" outlineLevel="0" collapsed="false">
      <c r="A193" s="12" t="s">
        <v>34</v>
      </c>
      <c r="B193" s="7" t="s">
        <v>35</v>
      </c>
      <c r="C193" s="12" t="s">
        <v>77</v>
      </c>
      <c r="D193" s="7" t="s">
        <v>32</v>
      </c>
      <c r="E193" s="7" t="s">
        <v>31</v>
      </c>
      <c r="F193" s="12" t="n">
        <f aca="false">IF(D193=E193,1,0)</f>
        <v>0</v>
      </c>
      <c r="G193" s="13" t="n">
        <v>0.03125</v>
      </c>
      <c r="H193" s="14" t="n">
        <v>0.348286695660823</v>
      </c>
      <c r="I193" s="14" t="n">
        <v>0.326837793375601</v>
      </c>
      <c r="J193" s="14" t="n">
        <v>0.324875510963576</v>
      </c>
      <c r="K193" s="12" t="s">
        <v>65</v>
      </c>
      <c r="L193" s="15" t="n">
        <v>977</v>
      </c>
      <c r="M193" s="15" t="n">
        <v>12</v>
      </c>
    </row>
    <row r="194" customFormat="false" ht="15" hidden="false" customHeight="false" outlineLevel="0" collapsed="false">
      <c r="A194" s="12" t="s">
        <v>36</v>
      </c>
      <c r="B194" s="7" t="s">
        <v>37</v>
      </c>
      <c r="C194" s="12" t="s">
        <v>77</v>
      </c>
      <c r="D194" s="7" t="s">
        <v>32</v>
      </c>
      <c r="E194" s="7" t="s">
        <v>31</v>
      </c>
      <c r="F194" s="12" t="n">
        <f aca="false">IF(D194=E194,1,0)</f>
        <v>0</v>
      </c>
      <c r="G194" s="13" t="n">
        <v>0.0205949656750572</v>
      </c>
      <c r="H194" s="14" t="n">
        <v>0.352206960859327</v>
      </c>
      <c r="I194" s="14" t="n">
        <v>0.29899673026809</v>
      </c>
      <c r="J194" s="14" t="n">
        <v>0.348796308872583</v>
      </c>
      <c r="K194" s="12" t="s">
        <v>65</v>
      </c>
      <c r="L194" s="15" t="n">
        <v>977</v>
      </c>
      <c r="M194" s="15" t="n">
        <v>12</v>
      </c>
    </row>
    <row r="195" customFormat="false" ht="15" hidden="false" customHeight="false" outlineLevel="0" collapsed="false">
      <c r="A195" s="12" t="s">
        <v>38</v>
      </c>
      <c r="B195" s="7" t="s">
        <v>39</v>
      </c>
      <c r="C195" s="12" t="s">
        <v>77</v>
      </c>
      <c r="D195" s="7" t="s">
        <v>31</v>
      </c>
      <c r="E195" s="7" t="s">
        <v>31</v>
      </c>
      <c r="F195" s="12" t="n">
        <f aca="false">IF(D195=E195,1,0)</f>
        <v>1</v>
      </c>
      <c r="G195" s="13" t="n">
        <v>0.0990712074303405</v>
      </c>
      <c r="H195" s="14" t="n">
        <v>0.322734036426621</v>
      </c>
      <c r="I195" s="14" t="n">
        <v>0.289408635817114</v>
      </c>
      <c r="J195" s="14" t="n">
        <v>0.387857327756265</v>
      </c>
      <c r="K195" s="12" t="s">
        <v>65</v>
      </c>
      <c r="L195" s="15" t="n">
        <v>977</v>
      </c>
      <c r="M195" s="15" t="n">
        <v>12</v>
      </c>
    </row>
    <row r="196" customFormat="false" ht="15" hidden="false" customHeight="false" outlineLevel="0" collapsed="false">
      <c r="A196" s="12" t="s">
        <v>41</v>
      </c>
      <c r="B196" s="7" t="s">
        <v>42</v>
      </c>
      <c r="C196" s="12" t="s">
        <v>77</v>
      </c>
      <c r="D196" s="7" t="s">
        <v>31</v>
      </c>
      <c r="E196" s="7" t="s">
        <v>40</v>
      </c>
      <c r="F196" s="12" t="n">
        <f aca="false">IF(D196=E196,1,0)</f>
        <v>0</v>
      </c>
      <c r="G196" s="13" t="n">
        <v>-0.0023529411764705</v>
      </c>
      <c r="H196" s="14" t="n">
        <v>0.34894454152979</v>
      </c>
      <c r="I196" s="14" t="n">
        <v>0.245956984254782</v>
      </c>
      <c r="J196" s="14" t="n">
        <v>0.405098474215428</v>
      </c>
      <c r="K196" s="12" t="s">
        <v>65</v>
      </c>
      <c r="L196" s="15" t="n">
        <v>977</v>
      </c>
      <c r="M196" s="15" t="n">
        <v>12</v>
      </c>
    </row>
    <row r="197" customFormat="false" ht="15" hidden="false" customHeight="false" outlineLevel="0" collapsed="false">
      <c r="A197" s="12" t="s">
        <v>43</v>
      </c>
      <c r="B197" s="7" t="s">
        <v>44</v>
      </c>
      <c r="C197" s="12" t="s">
        <v>77</v>
      </c>
      <c r="D197" s="7" t="s">
        <v>32</v>
      </c>
      <c r="E197" s="7" t="s">
        <v>31</v>
      </c>
      <c r="F197" s="12" t="n">
        <f aca="false">IF(D197=E197,1,0)</f>
        <v>0</v>
      </c>
      <c r="G197" s="13" t="n">
        <v>0.0102695763799742</v>
      </c>
      <c r="H197" s="14" t="n">
        <v>0.341949766044647</v>
      </c>
      <c r="I197" s="14" t="n">
        <v>0.332424228809786</v>
      </c>
      <c r="J197" s="14" t="n">
        <v>0.325626005145567</v>
      </c>
      <c r="K197" s="12" t="s">
        <v>65</v>
      </c>
      <c r="L197" s="15" t="n">
        <v>977</v>
      </c>
      <c r="M197" s="15" t="n">
        <v>12</v>
      </c>
    </row>
    <row r="198" customFormat="false" ht="15" hidden="false" customHeight="false" outlineLevel="0" collapsed="false">
      <c r="A198" s="12" t="s">
        <v>28</v>
      </c>
      <c r="B198" s="7" t="s">
        <v>29</v>
      </c>
      <c r="C198" s="12" t="s">
        <v>78</v>
      </c>
      <c r="D198" s="7" t="s">
        <v>31</v>
      </c>
      <c r="E198" s="7" t="s">
        <v>31</v>
      </c>
      <c r="F198" s="12" t="n">
        <f aca="false">IF(D198=E198,1,0)</f>
        <v>1</v>
      </c>
      <c r="G198" s="13" t="n">
        <v>0.0320197044334975</v>
      </c>
      <c r="H198" s="14" t="n">
        <v>0.351743652315864</v>
      </c>
      <c r="I198" s="14" t="n">
        <v>0.253278317048471</v>
      </c>
      <c r="J198" s="14" t="n">
        <v>0.394978030635664</v>
      </c>
      <c r="K198" s="12" t="s">
        <v>65</v>
      </c>
      <c r="L198" s="15" t="n">
        <v>977</v>
      </c>
      <c r="M198" s="15" t="n">
        <v>12</v>
      </c>
    </row>
    <row r="199" customFormat="false" ht="15" hidden="false" customHeight="false" outlineLevel="0" collapsed="false">
      <c r="A199" s="12" t="s">
        <v>34</v>
      </c>
      <c r="B199" s="7" t="s">
        <v>35</v>
      </c>
      <c r="C199" s="12" t="s">
        <v>78</v>
      </c>
      <c r="D199" s="7" t="s">
        <v>31</v>
      </c>
      <c r="E199" s="7" t="s">
        <v>31</v>
      </c>
      <c r="F199" s="12" t="n">
        <f aca="false">IF(D199=E199,1,0)</f>
        <v>1</v>
      </c>
      <c r="G199" s="13" t="n">
        <v>0.0101010101010101</v>
      </c>
      <c r="H199" s="14" t="n">
        <v>0.324881222179607</v>
      </c>
      <c r="I199" s="14" t="n">
        <v>0.298106632474179</v>
      </c>
      <c r="J199" s="14" t="n">
        <v>0.377012145346215</v>
      </c>
      <c r="K199" s="12" t="s">
        <v>65</v>
      </c>
      <c r="L199" s="15" t="n">
        <v>977</v>
      </c>
      <c r="M199" s="15" t="n">
        <v>12</v>
      </c>
    </row>
    <row r="200" customFormat="false" ht="15" hidden="false" customHeight="false" outlineLevel="0" collapsed="false">
      <c r="A200" s="12" t="s">
        <v>36</v>
      </c>
      <c r="B200" s="7" t="s">
        <v>37</v>
      </c>
      <c r="C200" s="12" t="s">
        <v>78</v>
      </c>
      <c r="D200" s="7" t="s">
        <v>31</v>
      </c>
      <c r="E200" s="7" t="s">
        <v>31</v>
      </c>
      <c r="F200" s="12" t="n">
        <f aca="false">IF(D200=E200,1,0)</f>
        <v>1</v>
      </c>
      <c r="G200" s="13" t="n">
        <v>0.0112107623318384</v>
      </c>
      <c r="H200" s="14" t="n">
        <v>0.340492601371887</v>
      </c>
      <c r="I200" s="14" t="n">
        <v>0.270852962844963</v>
      </c>
      <c r="J200" s="14" t="n">
        <v>0.38865443578315</v>
      </c>
      <c r="K200" s="12" t="s">
        <v>65</v>
      </c>
      <c r="L200" s="15" t="n">
        <v>977</v>
      </c>
      <c r="M200" s="15" t="n">
        <v>12</v>
      </c>
    </row>
    <row r="201" customFormat="false" ht="15" hidden="false" customHeight="false" outlineLevel="0" collapsed="false">
      <c r="A201" s="12" t="s">
        <v>38</v>
      </c>
      <c r="B201" s="7" t="s">
        <v>39</v>
      </c>
      <c r="C201" s="12" t="s">
        <v>78</v>
      </c>
      <c r="D201" s="7" t="s">
        <v>31</v>
      </c>
      <c r="E201" s="7" t="s">
        <v>31</v>
      </c>
      <c r="F201" s="12" t="n">
        <f aca="false">IF(D201=E201,1,0)</f>
        <v>1</v>
      </c>
      <c r="G201" s="13" t="n">
        <v>0.0873239436619719</v>
      </c>
      <c r="H201" s="14" t="n">
        <v>0.33232359633423</v>
      </c>
      <c r="I201" s="14" t="n">
        <v>0.292313152600369</v>
      </c>
      <c r="J201" s="14" t="n">
        <v>0.375363251065401</v>
      </c>
      <c r="K201" s="12" t="s">
        <v>65</v>
      </c>
      <c r="L201" s="15" t="n">
        <v>977</v>
      </c>
      <c r="M201" s="15" t="n">
        <v>12</v>
      </c>
    </row>
    <row r="202" customFormat="false" ht="15" hidden="false" customHeight="false" outlineLevel="0" collapsed="false">
      <c r="A202" s="12" t="s">
        <v>41</v>
      </c>
      <c r="B202" s="7" t="s">
        <v>42</v>
      </c>
      <c r="C202" s="12" t="s">
        <v>78</v>
      </c>
      <c r="D202" s="7" t="s">
        <v>32</v>
      </c>
      <c r="E202" s="7" t="s">
        <v>31</v>
      </c>
      <c r="F202" s="12" t="n">
        <f aca="false">IF(D202=E202,1,0)</f>
        <v>0</v>
      </c>
      <c r="G202" s="13" t="n">
        <v>0.0330188679245282</v>
      </c>
      <c r="H202" s="14" t="n">
        <v>0.342371820926115</v>
      </c>
      <c r="I202" s="14" t="n">
        <v>0.32202801201158</v>
      </c>
      <c r="J202" s="14" t="n">
        <v>0.335600167062305</v>
      </c>
      <c r="K202" s="12" t="s">
        <v>65</v>
      </c>
      <c r="L202" s="15" t="n">
        <v>977</v>
      </c>
      <c r="M202" s="15" t="n">
        <v>12</v>
      </c>
    </row>
    <row r="203" customFormat="false" ht="15" hidden="false" customHeight="false" outlineLevel="0" collapsed="false">
      <c r="A203" s="12" t="s">
        <v>43</v>
      </c>
      <c r="B203" s="7" t="s">
        <v>44</v>
      </c>
      <c r="C203" s="12" t="s">
        <v>78</v>
      </c>
      <c r="D203" s="7" t="s">
        <v>32</v>
      </c>
      <c r="E203" s="7" t="s">
        <v>31</v>
      </c>
      <c r="F203" s="12" t="n">
        <f aca="false">IF(D203=E203,1,0)</f>
        <v>0</v>
      </c>
      <c r="G203" s="13" t="n">
        <v>0.0127064803049554</v>
      </c>
      <c r="H203" s="14" t="n">
        <v>0.374683734041985</v>
      </c>
      <c r="I203" s="14" t="n">
        <v>0.296633867955218</v>
      </c>
      <c r="J203" s="14" t="n">
        <v>0.328682398002797</v>
      </c>
      <c r="K203" s="12" t="s">
        <v>65</v>
      </c>
      <c r="L203" s="15" t="n">
        <v>977</v>
      </c>
      <c r="M203" s="15" t="n">
        <v>12</v>
      </c>
    </row>
    <row r="204" customFormat="false" ht="15" hidden="false" customHeight="false" outlineLevel="0" collapsed="false">
      <c r="A204" s="12" t="s">
        <v>28</v>
      </c>
      <c r="B204" s="7" t="s">
        <v>29</v>
      </c>
      <c r="C204" s="12" t="s">
        <v>79</v>
      </c>
      <c r="D204" s="7" t="s">
        <v>31</v>
      </c>
      <c r="E204" s="7" t="s">
        <v>31</v>
      </c>
      <c r="F204" s="12" t="n">
        <f aca="false">IF(D204=E204,1,0)</f>
        <v>1</v>
      </c>
      <c r="G204" s="13" t="n">
        <v>0.0930787589498807</v>
      </c>
      <c r="H204" s="14" t="n">
        <v>0.35217312212424</v>
      </c>
      <c r="I204" s="14" t="n">
        <v>0.277673820861368</v>
      </c>
      <c r="J204" s="14" t="n">
        <v>0.370153057014392</v>
      </c>
      <c r="K204" s="12" t="s">
        <v>65</v>
      </c>
      <c r="L204" s="15" t="n">
        <v>977</v>
      </c>
      <c r="M204" s="15" t="n">
        <v>12</v>
      </c>
    </row>
    <row r="205" customFormat="false" ht="15" hidden="false" customHeight="false" outlineLevel="0" collapsed="false">
      <c r="A205" s="12" t="s">
        <v>34</v>
      </c>
      <c r="B205" s="7" t="s">
        <v>35</v>
      </c>
      <c r="C205" s="12" t="s">
        <v>79</v>
      </c>
      <c r="D205" s="7" t="s">
        <v>32</v>
      </c>
      <c r="E205" s="7" t="s">
        <v>31</v>
      </c>
      <c r="F205" s="12" t="n">
        <f aca="false">IF(D205=E205,1,0)</f>
        <v>0</v>
      </c>
      <c r="G205" s="13" t="n">
        <v>0.044</v>
      </c>
      <c r="H205" s="14" t="n">
        <v>0.373716999679944</v>
      </c>
      <c r="I205" s="14" t="n">
        <v>0.319077704443016</v>
      </c>
      <c r="J205" s="14" t="n">
        <v>0.30720529587704</v>
      </c>
      <c r="K205" s="12" t="s">
        <v>65</v>
      </c>
      <c r="L205" s="15" t="n">
        <v>977</v>
      </c>
      <c r="M205" s="15" t="n">
        <v>12</v>
      </c>
    </row>
    <row r="206" customFormat="false" ht="15" hidden="false" customHeight="false" outlineLevel="0" collapsed="false">
      <c r="A206" s="12" t="s">
        <v>36</v>
      </c>
      <c r="B206" s="7" t="s">
        <v>37</v>
      </c>
      <c r="C206" s="12" t="s">
        <v>79</v>
      </c>
      <c r="D206" s="7" t="s">
        <v>32</v>
      </c>
      <c r="E206" s="7" t="s">
        <v>31</v>
      </c>
      <c r="F206" s="12" t="n">
        <f aca="false">IF(D206=E206,1,0)</f>
        <v>0</v>
      </c>
      <c r="G206" s="13" t="n">
        <v>0.024390243902439</v>
      </c>
      <c r="H206" s="14" t="n">
        <v>0.397256337811362</v>
      </c>
      <c r="I206" s="14" t="n">
        <v>0.288792914078983</v>
      </c>
      <c r="J206" s="14" t="n">
        <v>0.313950748109655</v>
      </c>
      <c r="K206" s="12" t="s">
        <v>65</v>
      </c>
      <c r="L206" s="15" t="n">
        <v>977</v>
      </c>
      <c r="M206" s="15" t="n">
        <v>12</v>
      </c>
    </row>
    <row r="207" customFormat="false" ht="15" hidden="false" customHeight="false" outlineLevel="0" collapsed="false">
      <c r="A207" s="12" t="s">
        <v>38</v>
      </c>
      <c r="B207" s="7" t="s">
        <v>39</v>
      </c>
      <c r="C207" s="12" t="s">
        <v>79</v>
      </c>
      <c r="D207" s="7" t="s">
        <v>31</v>
      </c>
      <c r="E207" s="7" t="s">
        <v>31</v>
      </c>
      <c r="F207" s="12" t="n">
        <f aca="false">IF(D207=E207,1,0)</f>
        <v>1</v>
      </c>
      <c r="G207" s="13" t="n">
        <v>0.0997409326424869</v>
      </c>
      <c r="H207" s="14" t="n">
        <v>0.296204906580433</v>
      </c>
      <c r="I207" s="14" t="n">
        <v>0.312087503669304</v>
      </c>
      <c r="J207" s="14" t="n">
        <v>0.391707589750264</v>
      </c>
      <c r="K207" s="12" t="s">
        <v>65</v>
      </c>
      <c r="L207" s="15" t="n">
        <v>977</v>
      </c>
      <c r="M207" s="15" t="n">
        <v>12</v>
      </c>
    </row>
    <row r="208" customFormat="false" ht="15" hidden="false" customHeight="false" outlineLevel="0" collapsed="false">
      <c r="A208" s="12" t="s">
        <v>41</v>
      </c>
      <c r="B208" s="7" t="s">
        <v>42</v>
      </c>
      <c r="C208" s="12" t="s">
        <v>79</v>
      </c>
      <c r="D208" s="7" t="s">
        <v>31</v>
      </c>
      <c r="E208" s="7" t="s">
        <v>32</v>
      </c>
      <c r="F208" s="12" t="n">
        <f aca="false">IF(D208=E208,1,0)</f>
        <v>0</v>
      </c>
      <c r="G208" s="13" t="n">
        <v>-0.0228310502283105</v>
      </c>
      <c r="H208" s="14" t="n">
        <v>0.326862382418217</v>
      </c>
      <c r="I208" s="14" t="n">
        <v>0.293752951629633</v>
      </c>
      <c r="J208" s="14" t="n">
        <v>0.37938466595215</v>
      </c>
      <c r="K208" s="12" t="s">
        <v>65</v>
      </c>
      <c r="L208" s="15" t="n">
        <v>977</v>
      </c>
      <c r="M208" s="15" t="n">
        <v>12</v>
      </c>
    </row>
    <row r="209" customFormat="false" ht="15" hidden="false" customHeight="false" outlineLevel="0" collapsed="false">
      <c r="A209" s="12" t="s">
        <v>43</v>
      </c>
      <c r="B209" s="7" t="s">
        <v>44</v>
      </c>
      <c r="C209" s="12" t="s">
        <v>79</v>
      </c>
      <c r="D209" s="7" t="s">
        <v>32</v>
      </c>
      <c r="E209" s="7" t="s">
        <v>31</v>
      </c>
      <c r="F209" s="12" t="n">
        <f aca="false">IF(D209=E209,1,0)</f>
        <v>0</v>
      </c>
      <c r="G209" s="13" t="n">
        <v>0.0225846925972397</v>
      </c>
      <c r="H209" s="14" t="n">
        <v>0.371080306319878</v>
      </c>
      <c r="I209" s="14" t="n">
        <v>0.30369209591175</v>
      </c>
      <c r="J209" s="14" t="n">
        <v>0.325227597768373</v>
      </c>
      <c r="K209" s="12" t="s">
        <v>65</v>
      </c>
      <c r="L209" s="15" t="n">
        <v>977</v>
      </c>
      <c r="M209" s="15" t="n">
        <v>12</v>
      </c>
    </row>
    <row r="210" customFormat="false" ht="15" hidden="false" customHeight="false" outlineLevel="0" collapsed="false">
      <c r="A210" s="12" t="s">
        <v>28</v>
      </c>
      <c r="B210" s="7" t="s">
        <v>29</v>
      </c>
      <c r="C210" s="12" t="s">
        <v>80</v>
      </c>
      <c r="D210" s="7" t="s">
        <v>31</v>
      </c>
      <c r="E210" s="7" t="s">
        <v>31</v>
      </c>
      <c r="F210" s="12" t="n">
        <f aca="false">IF(D210=E210,1,0)</f>
        <v>1</v>
      </c>
      <c r="G210" s="13" t="n">
        <v>0.0262008733624454</v>
      </c>
      <c r="H210" s="14" t="n">
        <v>0.2962048891333</v>
      </c>
      <c r="I210" s="14" t="n">
        <v>0.34210429885728</v>
      </c>
      <c r="J210" s="14" t="n">
        <v>0.36169081200942</v>
      </c>
      <c r="K210" s="12" t="s">
        <v>65</v>
      </c>
      <c r="L210" s="15" t="n">
        <v>977</v>
      </c>
      <c r="M210" s="15" t="n">
        <v>12</v>
      </c>
    </row>
    <row r="211" customFormat="false" ht="15" hidden="false" customHeight="false" outlineLevel="0" collapsed="false">
      <c r="A211" s="12" t="s">
        <v>34</v>
      </c>
      <c r="B211" s="7" t="s">
        <v>35</v>
      </c>
      <c r="C211" s="12" t="s">
        <v>80</v>
      </c>
      <c r="D211" s="7" t="s">
        <v>31</v>
      </c>
      <c r="E211" s="7" t="s">
        <v>32</v>
      </c>
      <c r="F211" s="12" t="n">
        <f aca="false">IF(D211=E211,1,0)</f>
        <v>0</v>
      </c>
      <c r="G211" s="13" t="n">
        <v>-0.007662835249042</v>
      </c>
      <c r="H211" s="14" t="n">
        <v>0.302775192180992</v>
      </c>
      <c r="I211" s="14" t="n">
        <v>0.295470601160915</v>
      </c>
      <c r="J211" s="14" t="n">
        <v>0.401754206658093</v>
      </c>
      <c r="K211" s="12" t="s">
        <v>65</v>
      </c>
      <c r="L211" s="15" t="n">
        <v>977</v>
      </c>
      <c r="M211" s="15" t="n">
        <v>12</v>
      </c>
    </row>
    <row r="212" customFormat="false" ht="15" hidden="false" customHeight="false" outlineLevel="0" collapsed="false">
      <c r="A212" s="12" t="s">
        <v>36</v>
      </c>
      <c r="B212" s="7" t="s">
        <v>37</v>
      </c>
      <c r="C212" s="12" t="s">
        <v>80</v>
      </c>
      <c r="D212" s="7" t="s">
        <v>40</v>
      </c>
      <c r="E212" s="7" t="s">
        <v>32</v>
      </c>
      <c r="F212" s="12" t="n">
        <f aca="false">IF(D212=E212,1,0)</f>
        <v>0</v>
      </c>
      <c r="G212" s="13" t="n">
        <v>-0.0173160173160172</v>
      </c>
      <c r="H212" s="14" t="n">
        <v>0.323376284550604</v>
      </c>
      <c r="I212" s="14" t="n">
        <v>0.361128818423522</v>
      </c>
      <c r="J212" s="14" t="n">
        <v>0.315494897025874</v>
      </c>
      <c r="K212" s="12" t="s">
        <v>65</v>
      </c>
      <c r="L212" s="15" t="n">
        <v>977</v>
      </c>
      <c r="M212" s="15" t="n">
        <v>12</v>
      </c>
    </row>
    <row r="213" customFormat="false" ht="15" hidden="false" customHeight="false" outlineLevel="0" collapsed="false">
      <c r="A213" s="12" t="s">
        <v>41</v>
      </c>
      <c r="B213" s="7" t="s">
        <v>42</v>
      </c>
      <c r="C213" s="12" t="s">
        <v>80</v>
      </c>
      <c r="D213" s="7" t="s">
        <v>32</v>
      </c>
      <c r="E213" s="7" t="s">
        <v>32</v>
      </c>
      <c r="F213" s="12" t="n">
        <f aca="false">IF(D213=E213,1,0)</f>
        <v>1</v>
      </c>
      <c r="G213" s="13" t="n">
        <v>-0.0116822429906542</v>
      </c>
      <c r="H213" s="14" t="n">
        <v>0.343295824569436</v>
      </c>
      <c r="I213" s="14" t="n">
        <v>0.331701855642258</v>
      </c>
      <c r="J213" s="14" t="n">
        <v>0.325002319788306</v>
      </c>
      <c r="K213" s="12" t="s">
        <v>65</v>
      </c>
      <c r="L213" s="15" t="n">
        <v>977</v>
      </c>
      <c r="M213" s="15" t="n">
        <v>12</v>
      </c>
    </row>
    <row r="214" customFormat="false" ht="15" hidden="false" customHeight="false" outlineLevel="0" collapsed="false">
      <c r="A214" s="12" t="s">
        <v>43</v>
      </c>
      <c r="B214" s="7" t="s">
        <v>44</v>
      </c>
      <c r="C214" s="12" t="s">
        <v>80</v>
      </c>
      <c r="D214" s="7" t="s">
        <v>32</v>
      </c>
      <c r="E214" s="7" t="s">
        <v>31</v>
      </c>
      <c r="F214" s="12" t="n">
        <f aca="false">IF(D214=E214,1,0)</f>
        <v>0</v>
      </c>
      <c r="G214" s="13" t="n">
        <v>0.0196319018404906</v>
      </c>
      <c r="H214" s="14" t="n">
        <v>0.358764955818312</v>
      </c>
      <c r="I214" s="14" t="n">
        <v>0.29997589365263</v>
      </c>
      <c r="J214" s="14" t="n">
        <v>0.341259150529058</v>
      </c>
      <c r="K214" s="12" t="s">
        <v>65</v>
      </c>
      <c r="L214" s="15" t="n">
        <v>977</v>
      </c>
      <c r="M214" s="15" t="n">
        <v>12</v>
      </c>
    </row>
    <row r="215" customFormat="false" ht="15" hidden="false" customHeight="false" outlineLevel="0" collapsed="false">
      <c r="A215" s="12" t="s">
        <v>28</v>
      </c>
      <c r="B215" s="7" t="s">
        <v>29</v>
      </c>
      <c r="C215" s="12" t="s">
        <v>81</v>
      </c>
      <c r="D215" s="7" t="s">
        <v>31</v>
      </c>
      <c r="E215" s="7" t="s">
        <v>31</v>
      </c>
      <c r="F215" s="12" t="n">
        <f aca="false">IF(D215=E215,1,0)</f>
        <v>1</v>
      </c>
      <c r="G215" s="13" t="n">
        <v>0.0723404255319148</v>
      </c>
      <c r="H215" s="14" t="n">
        <v>0.279575319992296</v>
      </c>
      <c r="I215" s="14" t="n">
        <v>0.329853198251922</v>
      </c>
      <c r="J215" s="14" t="n">
        <v>0.390571481755781</v>
      </c>
      <c r="K215" s="12" t="s">
        <v>65</v>
      </c>
      <c r="L215" s="15" t="n">
        <v>977</v>
      </c>
      <c r="M215" s="15" t="n">
        <v>12</v>
      </c>
    </row>
    <row r="216" customFormat="false" ht="15" hidden="false" customHeight="false" outlineLevel="0" collapsed="false">
      <c r="A216" s="12" t="s">
        <v>34</v>
      </c>
      <c r="B216" s="7" t="s">
        <v>35</v>
      </c>
      <c r="C216" s="12" t="s">
        <v>81</v>
      </c>
      <c r="D216" s="7" t="s">
        <v>31</v>
      </c>
      <c r="E216" s="7" t="s">
        <v>31</v>
      </c>
      <c r="F216" s="12" t="n">
        <f aca="false">IF(D216=E216,1,0)</f>
        <v>1</v>
      </c>
      <c r="G216" s="13" t="n">
        <v>0.0193050193050192</v>
      </c>
      <c r="H216" s="14" t="n">
        <v>0.32434945629313</v>
      </c>
      <c r="I216" s="14" t="n">
        <v>0.337617783324821</v>
      </c>
      <c r="J216" s="14" t="n">
        <v>0.338032760382049</v>
      </c>
      <c r="K216" s="12" t="s">
        <v>65</v>
      </c>
      <c r="L216" s="15" t="n">
        <v>977</v>
      </c>
      <c r="M216" s="15" t="n">
        <v>12</v>
      </c>
    </row>
    <row r="217" customFormat="false" ht="15" hidden="false" customHeight="false" outlineLevel="0" collapsed="false">
      <c r="A217" s="12" t="s">
        <v>36</v>
      </c>
      <c r="B217" s="7" t="s">
        <v>37</v>
      </c>
      <c r="C217" s="12" t="s">
        <v>81</v>
      </c>
      <c r="D217" s="7" t="s">
        <v>32</v>
      </c>
      <c r="E217" s="7" t="s">
        <v>31</v>
      </c>
      <c r="F217" s="12" t="n">
        <f aca="false">IF(D217=E217,1,0)</f>
        <v>0</v>
      </c>
      <c r="G217" s="13" t="n">
        <v>0.0132158590308371</v>
      </c>
      <c r="H217" s="14" t="n">
        <v>0.352427645522378</v>
      </c>
      <c r="I217" s="14" t="n">
        <v>0.341512741690263</v>
      </c>
      <c r="J217" s="14" t="n">
        <v>0.306059612787359</v>
      </c>
      <c r="K217" s="12" t="s">
        <v>65</v>
      </c>
      <c r="L217" s="15" t="n">
        <v>977</v>
      </c>
      <c r="M217" s="15" t="n">
        <v>12</v>
      </c>
    </row>
    <row r="218" customFormat="false" ht="15" hidden="false" customHeight="false" outlineLevel="0" collapsed="false">
      <c r="A218" s="12" t="s">
        <v>38</v>
      </c>
      <c r="B218" s="7" t="s">
        <v>39</v>
      </c>
      <c r="C218" s="12" t="s">
        <v>81</v>
      </c>
      <c r="D218" s="7" t="s">
        <v>31</v>
      </c>
      <c r="E218" s="7" t="s">
        <v>31</v>
      </c>
      <c r="F218" s="12" t="n">
        <f aca="false">IF(D218=E218,1,0)</f>
        <v>1</v>
      </c>
      <c r="G218" s="13" t="n">
        <v>0.0879249706916764</v>
      </c>
      <c r="H218" s="14" t="n">
        <v>0.296249325109232</v>
      </c>
      <c r="I218" s="14" t="n">
        <v>0.32043335460979</v>
      </c>
      <c r="J218" s="14" t="n">
        <v>0.383317320280979</v>
      </c>
      <c r="K218" s="12" t="s">
        <v>65</v>
      </c>
      <c r="L218" s="15" t="n">
        <v>977</v>
      </c>
      <c r="M218" s="15" t="n">
        <v>12</v>
      </c>
    </row>
    <row r="219" customFormat="false" ht="15" hidden="false" customHeight="false" outlineLevel="0" collapsed="false">
      <c r="A219" s="12" t="s">
        <v>41</v>
      </c>
      <c r="B219" s="7" t="s">
        <v>42</v>
      </c>
      <c r="C219" s="12" t="s">
        <v>81</v>
      </c>
      <c r="D219" s="7" t="s">
        <v>31</v>
      </c>
      <c r="E219" s="7" t="s">
        <v>40</v>
      </c>
      <c r="F219" s="12" t="n">
        <f aca="false">IF(D219=E219,1,0)</f>
        <v>0</v>
      </c>
      <c r="G219" s="13" t="n">
        <v>0</v>
      </c>
      <c r="H219" s="14" t="n">
        <v>0.326603164245564</v>
      </c>
      <c r="I219" s="14" t="n">
        <v>0.314928545220944</v>
      </c>
      <c r="J219" s="14" t="n">
        <v>0.358468290533492</v>
      </c>
      <c r="K219" s="12" t="s">
        <v>65</v>
      </c>
      <c r="L219" s="15" t="n">
        <v>977</v>
      </c>
      <c r="M219" s="15" t="n">
        <v>12</v>
      </c>
    </row>
    <row r="220" customFormat="false" ht="15" hidden="false" customHeight="false" outlineLevel="0" collapsed="false">
      <c r="A220" s="12" t="s">
        <v>43</v>
      </c>
      <c r="B220" s="7" t="s">
        <v>44</v>
      </c>
      <c r="C220" s="12" t="s">
        <v>81</v>
      </c>
      <c r="D220" s="7" t="s">
        <v>32</v>
      </c>
      <c r="E220" s="7" t="s">
        <v>31</v>
      </c>
      <c r="F220" s="12" t="n">
        <f aca="false">IF(D220=E220,1,0)</f>
        <v>0</v>
      </c>
      <c r="G220" s="13" t="n">
        <v>0.0276774969915765</v>
      </c>
      <c r="H220" s="14" t="n">
        <v>0.381232639924779</v>
      </c>
      <c r="I220" s="14" t="n">
        <v>0.267831559598455</v>
      </c>
      <c r="J220" s="14" t="n">
        <v>0.350935800476766</v>
      </c>
      <c r="K220" s="12" t="s">
        <v>65</v>
      </c>
      <c r="L220" s="15" t="n">
        <v>977</v>
      </c>
      <c r="M220" s="15" t="n">
        <v>12</v>
      </c>
    </row>
    <row r="221" customFormat="false" ht="15" hidden="false" customHeight="false" outlineLevel="0" collapsed="false">
      <c r="A221" s="12" t="s">
        <v>28</v>
      </c>
      <c r="B221" s="7" t="s">
        <v>29</v>
      </c>
      <c r="C221" s="12" t="s">
        <v>82</v>
      </c>
      <c r="D221" s="7" t="s">
        <v>31</v>
      </c>
      <c r="E221" s="7" t="s">
        <v>32</v>
      </c>
      <c r="F221" s="12" t="n">
        <f aca="false">IF(D221=E221,1,0)</f>
        <v>0</v>
      </c>
      <c r="G221" s="13" t="n">
        <v>-0.0515873015873016</v>
      </c>
      <c r="H221" s="14" t="n">
        <v>0.295092927351923</v>
      </c>
      <c r="I221" s="14" t="n">
        <v>0.33140204752204</v>
      </c>
      <c r="J221" s="14" t="n">
        <v>0.373505025126036</v>
      </c>
      <c r="K221" s="12" t="s">
        <v>65</v>
      </c>
      <c r="L221" s="15" t="n">
        <v>977</v>
      </c>
      <c r="M221" s="15" t="n">
        <v>12</v>
      </c>
    </row>
    <row r="222" customFormat="false" ht="15" hidden="false" customHeight="false" outlineLevel="0" collapsed="false">
      <c r="A222" s="12" t="s">
        <v>34</v>
      </c>
      <c r="B222" s="7" t="s">
        <v>35</v>
      </c>
      <c r="C222" s="12" t="s">
        <v>82</v>
      </c>
      <c r="D222" s="7" t="s">
        <v>40</v>
      </c>
      <c r="E222" s="7" t="s">
        <v>40</v>
      </c>
      <c r="F222" s="12" t="n">
        <f aca="false">IF(D222=E222,1,0)</f>
        <v>1</v>
      </c>
      <c r="G222" s="13" t="n">
        <v>-0.0037878787878787</v>
      </c>
      <c r="H222" s="14" t="n">
        <v>0.329592607776268</v>
      </c>
      <c r="I222" s="14" t="n">
        <v>0.340504081204048</v>
      </c>
      <c r="J222" s="14" t="n">
        <v>0.329903311019684</v>
      </c>
      <c r="K222" s="12" t="s">
        <v>65</v>
      </c>
      <c r="L222" s="15" t="n">
        <v>977</v>
      </c>
      <c r="M222" s="15" t="n">
        <v>12</v>
      </c>
    </row>
    <row r="223" customFormat="false" ht="15" hidden="false" customHeight="false" outlineLevel="0" collapsed="false">
      <c r="A223" s="12" t="s">
        <v>36</v>
      </c>
      <c r="B223" s="7" t="s">
        <v>37</v>
      </c>
      <c r="C223" s="12" t="s">
        <v>82</v>
      </c>
      <c r="D223" s="7" t="s">
        <v>31</v>
      </c>
      <c r="E223" s="7" t="s">
        <v>40</v>
      </c>
      <c r="F223" s="12" t="n">
        <f aca="false">IF(D223=E223,1,0)</f>
        <v>0</v>
      </c>
      <c r="G223" s="13" t="n">
        <v>-0.0021739130434782</v>
      </c>
      <c r="H223" s="14" t="n">
        <v>0.358454386067178</v>
      </c>
      <c r="I223" s="14" t="n">
        <v>0.275287530700465</v>
      </c>
      <c r="J223" s="14" t="n">
        <v>0.366258083232357</v>
      </c>
      <c r="K223" s="12" t="s">
        <v>65</v>
      </c>
      <c r="L223" s="15" t="n">
        <v>977</v>
      </c>
      <c r="M223" s="15" t="n">
        <v>12</v>
      </c>
    </row>
    <row r="224" customFormat="false" ht="15" hidden="false" customHeight="false" outlineLevel="0" collapsed="false">
      <c r="A224" s="12" t="s">
        <v>38</v>
      </c>
      <c r="B224" s="7" t="s">
        <v>39</v>
      </c>
      <c r="C224" s="12" t="s">
        <v>82</v>
      </c>
      <c r="D224" s="7" t="s">
        <v>40</v>
      </c>
      <c r="E224" s="7" t="s">
        <v>32</v>
      </c>
      <c r="F224" s="12" t="n">
        <f aca="false">IF(D224=E224,1,0)</f>
        <v>0</v>
      </c>
      <c r="G224" s="13" t="n">
        <v>-0.0495689655172413</v>
      </c>
      <c r="H224" s="14" t="n">
        <v>0.320409829587906</v>
      </c>
      <c r="I224" s="14" t="n">
        <v>0.342037509867889</v>
      </c>
      <c r="J224" s="14" t="n">
        <v>0.337552660544205</v>
      </c>
      <c r="K224" s="12" t="s">
        <v>65</v>
      </c>
      <c r="L224" s="15" t="n">
        <v>977</v>
      </c>
      <c r="M224" s="15" t="n">
        <v>12</v>
      </c>
    </row>
    <row r="225" customFormat="false" ht="15" hidden="false" customHeight="false" outlineLevel="0" collapsed="false">
      <c r="A225" s="12" t="s">
        <v>41</v>
      </c>
      <c r="B225" s="7" t="s">
        <v>42</v>
      </c>
      <c r="C225" s="12" t="s">
        <v>82</v>
      </c>
      <c r="D225" s="7" t="s">
        <v>32</v>
      </c>
      <c r="E225" s="7" t="s">
        <v>40</v>
      </c>
      <c r="F225" s="12" t="n">
        <f aca="false">IF(D225=E225,1,0)</f>
        <v>0</v>
      </c>
      <c r="G225" s="13" t="n">
        <v>-0.0023640661938534</v>
      </c>
      <c r="H225" s="14" t="n">
        <v>0.354864143510416</v>
      </c>
      <c r="I225" s="14" t="n">
        <v>0.295774755608261</v>
      </c>
      <c r="J225" s="14" t="n">
        <v>0.349361100881323</v>
      </c>
      <c r="K225" s="12" t="s">
        <v>65</v>
      </c>
      <c r="L225" s="15" t="n">
        <v>977</v>
      </c>
      <c r="M225" s="15" t="n">
        <v>12</v>
      </c>
    </row>
    <row r="226" customFormat="false" ht="15" hidden="false" customHeight="false" outlineLevel="0" collapsed="false">
      <c r="A226" s="12" t="s">
        <v>43</v>
      </c>
      <c r="B226" s="7" t="s">
        <v>44</v>
      </c>
      <c r="C226" s="12" t="s">
        <v>82</v>
      </c>
      <c r="D226" s="7" t="s">
        <v>32</v>
      </c>
      <c r="E226" s="7" t="s">
        <v>32</v>
      </c>
      <c r="F226" s="12" t="n">
        <f aca="false">IF(D226=E226,1,0)</f>
        <v>1</v>
      </c>
      <c r="G226" s="13" t="n">
        <v>-0.0070257611241218</v>
      </c>
      <c r="H226" s="14" t="n">
        <v>0.38440526686259</v>
      </c>
      <c r="I226" s="14" t="n">
        <v>0.263334580984066</v>
      </c>
      <c r="J226" s="14" t="n">
        <v>0.352260152153344</v>
      </c>
      <c r="K226" s="12" t="s">
        <v>65</v>
      </c>
      <c r="L226" s="15" t="n">
        <v>977</v>
      </c>
      <c r="M226" s="15" t="n">
        <v>12</v>
      </c>
    </row>
    <row r="227" customFormat="false" ht="15" hidden="false" customHeight="false" outlineLevel="0" collapsed="false">
      <c r="A227" s="12" t="s">
        <v>28</v>
      </c>
      <c r="B227" s="7" t="s">
        <v>29</v>
      </c>
      <c r="C227" s="12" t="s">
        <v>83</v>
      </c>
      <c r="D227" s="7" t="s">
        <v>32</v>
      </c>
      <c r="E227" s="7" t="s">
        <v>31</v>
      </c>
      <c r="F227" s="12" t="n">
        <f aca="false">IF(D227=E227,1,0)</f>
        <v>0</v>
      </c>
      <c r="G227" s="13" t="n">
        <v>0.0230125523012552</v>
      </c>
      <c r="H227" s="14" t="n">
        <v>0.355614344752265</v>
      </c>
      <c r="I227" s="14" t="n">
        <v>0.333941137271308</v>
      </c>
      <c r="J227" s="14" t="n">
        <v>0.310444517976428</v>
      </c>
      <c r="K227" s="12" t="s">
        <v>65</v>
      </c>
      <c r="L227" s="15" t="n">
        <v>977</v>
      </c>
      <c r="M227" s="15" t="n">
        <v>12</v>
      </c>
    </row>
    <row r="228" customFormat="false" ht="15" hidden="false" customHeight="false" outlineLevel="0" collapsed="false">
      <c r="A228" s="12" t="s">
        <v>34</v>
      </c>
      <c r="B228" s="7" t="s">
        <v>35</v>
      </c>
      <c r="C228" s="12" t="s">
        <v>83</v>
      </c>
      <c r="D228" s="7" t="s">
        <v>32</v>
      </c>
      <c r="E228" s="7" t="s">
        <v>31</v>
      </c>
      <c r="F228" s="12" t="n">
        <f aca="false">IF(D228=E228,1,0)</f>
        <v>0</v>
      </c>
      <c r="G228" s="13" t="n">
        <v>0.0988593155893535</v>
      </c>
      <c r="H228" s="14" t="n">
        <v>0.398384824339187</v>
      </c>
      <c r="I228" s="14" t="n">
        <v>0.309697437712174</v>
      </c>
      <c r="J228" s="14" t="n">
        <v>0.291917737948639</v>
      </c>
      <c r="K228" s="12" t="s">
        <v>65</v>
      </c>
      <c r="L228" s="15" t="n">
        <v>977</v>
      </c>
      <c r="M228" s="15" t="n">
        <v>12</v>
      </c>
    </row>
    <row r="229" customFormat="false" ht="15" hidden="false" customHeight="false" outlineLevel="0" collapsed="false">
      <c r="A229" s="12" t="s">
        <v>36</v>
      </c>
      <c r="B229" s="7" t="s">
        <v>37</v>
      </c>
      <c r="C229" s="12" t="s">
        <v>83</v>
      </c>
      <c r="D229" s="7" t="s">
        <v>32</v>
      </c>
      <c r="E229" s="7" t="s">
        <v>31</v>
      </c>
      <c r="F229" s="12" t="n">
        <f aca="false">IF(D229=E229,1,0)</f>
        <v>0</v>
      </c>
      <c r="G229" s="13" t="n">
        <v>0.0261437908496731</v>
      </c>
      <c r="H229" s="14" t="n">
        <v>0.405795551943542</v>
      </c>
      <c r="I229" s="14" t="n">
        <v>0.271588411775147</v>
      </c>
      <c r="J229" s="14" t="n">
        <v>0.322616036281311</v>
      </c>
      <c r="K229" s="12" t="s">
        <v>65</v>
      </c>
      <c r="L229" s="15" t="n">
        <v>977</v>
      </c>
      <c r="M229" s="15" t="n">
        <v>12</v>
      </c>
    </row>
    <row r="230" customFormat="false" ht="15" hidden="false" customHeight="false" outlineLevel="0" collapsed="false">
      <c r="A230" s="12" t="s">
        <v>38</v>
      </c>
      <c r="B230" s="7" t="s">
        <v>39</v>
      </c>
      <c r="C230" s="12" t="s">
        <v>83</v>
      </c>
      <c r="D230" s="7" t="s">
        <v>32</v>
      </c>
      <c r="E230" s="7" t="s">
        <v>32</v>
      </c>
      <c r="F230" s="12" t="n">
        <f aca="false">IF(D230=E230,1,0)</f>
        <v>1</v>
      </c>
      <c r="G230" s="13" t="n">
        <v>-0.0226757369614512</v>
      </c>
      <c r="H230" s="14" t="n">
        <v>0.376023283897694</v>
      </c>
      <c r="I230" s="14" t="n">
        <v>0.324691178265999</v>
      </c>
      <c r="J230" s="14" t="n">
        <v>0.299285537836307</v>
      </c>
      <c r="K230" s="12" t="s">
        <v>65</v>
      </c>
      <c r="L230" s="15" t="n">
        <v>977</v>
      </c>
      <c r="M230" s="15" t="n">
        <v>12</v>
      </c>
    </row>
    <row r="231" customFormat="false" ht="15" hidden="false" customHeight="false" outlineLevel="0" collapsed="false">
      <c r="A231" s="12" t="s">
        <v>41</v>
      </c>
      <c r="B231" s="7" t="s">
        <v>42</v>
      </c>
      <c r="C231" s="12" t="s">
        <v>83</v>
      </c>
      <c r="D231" s="7" t="s">
        <v>32</v>
      </c>
      <c r="E231" s="7" t="s">
        <v>31</v>
      </c>
      <c r="F231" s="12" t="n">
        <f aca="false">IF(D231=E231,1,0)</f>
        <v>0</v>
      </c>
      <c r="G231" s="13" t="n">
        <v>0.009478672985782</v>
      </c>
      <c r="H231" s="14" t="n">
        <v>0.416613523486186</v>
      </c>
      <c r="I231" s="14" t="n">
        <v>0.301012137402308</v>
      </c>
      <c r="J231" s="14" t="n">
        <v>0.282374339111506</v>
      </c>
      <c r="K231" s="12" t="s">
        <v>65</v>
      </c>
      <c r="L231" s="15" t="n">
        <v>977</v>
      </c>
      <c r="M231" s="15" t="n">
        <v>12</v>
      </c>
    </row>
    <row r="232" customFormat="false" ht="15" hidden="false" customHeight="false" outlineLevel="0" collapsed="false">
      <c r="A232" s="12" t="s">
        <v>43</v>
      </c>
      <c r="B232" s="7" t="s">
        <v>44</v>
      </c>
      <c r="C232" s="12" t="s">
        <v>83</v>
      </c>
      <c r="D232" s="7" t="s">
        <v>32</v>
      </c>
      <c r="E232" s="7" t="s">
        <v>31</v>
      </c>
      <c r="F232" s="12" t="n">
        <f aca="false">IF(D232=E232,1,0)</f>
        <v>0</v>
      </c>
      <c r="G232" s="13" t="n">
        <v>0.0106132075471698</v>
      </c>
      <c r="H232" s="14" t="n">
        <v>0.39003553208643</v>
      </c>
      <c r="I232" s="14" t="n">
        <v>0.253294058218282</v>
      </c>
      <c r="J232" s="14" t="n">
        <v>0.356670409695288</v>
      </c>
      <c r="K232" s="12" t="s">
        <v>65</v>
      </c>
      <c r="L232" s="15" t="n">
        <v>977</v>
      </c>
      <c r="M232" s="15" t="n">
        <v>12</v>
      </c>
    </row>
    <row r="233" customFormat="false" ht="15" hidden="false" customHeight="false" outlineLevel="0" collapsed="false">
      <c r="A233" s="12" t="s">
        <v>28</v>
      </c>
      <c r="B233" s="7" t="s">
        <v>29</v>
      </c>
      <c r="C233" s="12" t="s">
        <v>84</v>
      </c>
      <c r="D233" s="7" t="s">
        <v>32</v>
      </c>
      <c r="E233" s="7" t="s">
        <v>32</v>
      </c>
      <c r="F233" s="12" t="n">
        <f aca="false">IF(D233=E233,1,0)</f>
        <v>1</v>
      </c>
      <c r="G233" s="13" t="n">
        <v>-0.0102249488752556</v>
      </c>
      <c r="H233" s="14" t="n">
        <v>0.368480344324436</v>
      </c>
      <c r="I233" s="14" t="n">
        <v>0.277354921601597</v>
      </c>
      <c r="J233" s="14" t="n">
        <v>0.354164734073968</v>
      </c>
      <c r="K233" s="12" t="s">
        <v>65</v>
      </c>
      <c r="L233" s="15" t="n">
        <v>977</v>
      </c>
      <c r="M233" s="15" t="n">
        <v>12</v>
      </c>
    </row>
    <row r="234" customFormat="false" ht="15" hidden="false" customHeight="false" outlineLevel="0" collapsed="false">
      <c r="A234" s="12" t="s">
        <v>34</v>
      </c>
      <c r="B234" s="7" t="s">
        <v>35</v>
      </c>
      <c r="C234" s="12" t="s">
        <v>84</v>
      </c>
      <c r="D234" s="7" t="s">
        <v>32</v>
      </c>
      <c r="E234" s="7" t="s">
        <v>31</v>
      </c>
      <c r="F234" s="12" t="n">
        <f aca="false">IF(D234=E234,1,0)</f>
        <v>0</v>
      </c>
      <c r="G234" s="13" t="n">
        <v>0.0155709342560552</v>
      </c>
      <c r="H234" s="14" t="n">
        <v>0.3528901809284</v>
      </c>
      <c r="I234" s="14" t="n">
        <v>0.316076981114021</v>
      </c>
      <c r="J234" s="14" t="n">
        <v>0.331032837957578</v>
      </c>
      <c r="K234" s="12" t="s">
        <v>65</v>
      </c>
      <c r="L234" s="15" t="n">
        <v>977</v>
      </c>
      <c r="M234" s="15" t="n">
        <v>12</v>
      </c>
    </row>
    <row r="235" customFormat="false" ht="15" hidden="false" customHeight="false" outlineLevel="0" collapsed="false">
      <c r="A235" s="12" t="s">
        <v>36</v>
      </c>
      <c r="B235" s="7" t="s">
        <v>37</v>
      </c>
      <c r="C235" s="12" t="s">
        <v>84</v>
      </c>
      <c r="D235" s="7" t="s">
        <v>31</v>
      </c>
      <c r="E235" s="7" t="s">
        <v>40</v>
      </c>
      <c r="F235" s="12" t="n">
        <f aca="false">IF(D235=E235,1,0)</f>
        <v>0</v>
      </c>
      <c r="G235" s="13" t="n">
        <v>0</v>
      </c>
      <c r="H235" s="14" t="n">
        <v>0.3671205909795</v>
      </c>
      <c r="I235" s="14" t="n">
        <v>0.247590598265828</v>
      </c>
      <c r="J235" s="14" t="n">
        <v>0.385288810754672</v>
      </c>
      <c r="K235" s="12" t="s">
        <v>65</v>
      </c>
      <c r="L235" s="15" t="n">
        <v>977</v>
      </c>
      <c r="M235" s="15" t="n">
        <v>12</v>
      </c>
    </row>
    <row r="236" customFormat="false" ht="15" hidden="false" customHeight="false" outlineLevel="0" collapsed="false">
      <c r="A236" s="12" t="s">
        <v>38</v>
      </c>
      <c r="B236" s="7" t="s">
        <v>39</v>
      </c>
      <c r="C236" s="12" t="s">
        <v>84</v>
      </c>
      <c r="D236" s="7" t="s">
        <v>32</v>
      </c>
      <c r="E236" s="7" t="s">
        <v>31</v>
      </c>
      <c r="F236" s="12" t="n">
        <f aca="false">IF(D236=E236,1,0)</f>
        <v>0</v>
      </c>
      <c r="G236" s="13" t="n">
        <v>0.056844547563805</v>
      </c>
      <c r="H236" s="14" t="n">
        <v>0.381773014080314</v>
      </c>
      <c r="I236" s="14" t="n">
        <v>0.299042256773903</v>
      </c>
      <c r="J236" s="14" t="n">
        <v>0.319184729145784</v>
      </c>
      <c r="K236" s="12" t="s">
        <v>65</v>
      </c>
      <c r="L236" s="15" t="n">
        <v>977</v>
      </c>
      <c r="M236" s="15" t="n">
        <v>12</v>
      </c>
    </row>
    <row r="237" customFormat="false" ht="15" hidden="false" customHeight="false" outlineLevel="0" collapsed="false">
      <c r="A237" s="12" t="s">
        <v>41</v>
      </c>
      <c r="B237" s="7" t="s">
        <v>42</v>
      </c>
      <c r="C237" s="12" t="s">
        <v>84</v>
      </c>
      <c r="D237" s="7" t="s">
        <v>32</v>
      </c>
      <c r="E237" s="7" t="s">
        <v>31</v>
      </c>
      <c r="F237" s="12" t="n">
        <f aca="false">IF(D237=E237,1,0)</f>
        <v>0</v>
      </c>
      <c r="G237" s="13" t="n">
        <v>0.0516431924882629</v>
      </c>
      <c r="H237" s="14" t="n">
        <v>0.377503046395176</v>
      </c>
      <c r="I237" s="14" t="n">
        <v>0.280439435647276</v>
      </c>
      <c r="J237" s="14" t="n">
        <v>0.342057517957547</v>
      </c>
      <c r="K237" s="12" t="s">
        <v>65</v>
      </c>
      <c r="L237" s="15" t="n">
        <v>977</v>
      </c>
      <c r="M237" s="15" t="n">
        <v>12</v>
      </c>
    </row>
    <row r="238" customFormat="false" ht="15" hidden="false" customHeight="false" outlineLevel="0" collapsed="false">
      <c r="A238" s="12" t="s">
        <v>43</v>
      </c>
      <c r="B238" s="7" t="s">
        <v>44</v>
      </c>
      <c r="C238" s="12" t="s">
        <v>84</v>
      </c>
      <c r="D238" s="7" t="s">
        <v>32</v>
      </c>
      <c r="E238" s="7" t="s">
        <v>31</v>
      </c>
      <c r="F238" s="12" t="n">
        <f aca="false">IF(D238=E238,1,0)</f>
        <v>0</v>
      </c>
      <c r="G238" s="13" t="n">
        <v>0.029171528588098</v>
      </c>
      <c r="H238" s="14" t="n">
        <v>0.411240098505218</v>
      </c>
      <c r="I238" s="14" t="n">
        <v>0.276724437624988</v>
      </c>
      <c r="J238" s="14" t="n">
        <v>0.312035463869794</v>
      </c>
      <c r="K238" s="12" t="s">
        <v>65</v>
      </c>
      <c r="L238" s="15" t="n">
        <v>977</v>
      </c>
      <c r="M238" s="15" t="n">
        <v>12</v>
      </c>
    </row>
    <row r="239" customFormat="false" ht="15" hidden="false" customHeight="false" outlineLevel="0" collapsed="false">
      <c r="A239" s="12" t="s">
        <v>28</v>
      </c>
      <c r="B239" s="7" t="s">
        <v>29</v>
      </c>
      <c r="C239" s="12" t="s">
        <v>85</v>
      </c>
      <c r="D239" s="7" t="s">
        <v>31</v>
      </c>
      <c r="E239" s="7" t="s">
        <v>32</v>
      </c>
      <c r="F239" s="12" t="n">
        <f aca="false">IF(D239=E239,1,0)</f>
        <v>0</v>
      </c>
      <c r="G239" s="13" t="n">
        <v>-0.024793388429752</v>
      </c>
      <c r="H239" s="14" t="n">
        <v>0.285320070683126</v>
      </c>
      <c r="I239" s="14" t="n">
        <v>0.30770745154927</v>
      </c>
      <c r="J239" s="14" t="n">
        <v>0.406972477767604</v>
      </c>
      <c r="K239" s="12" t="s">
        <v>86</v>
      </c>
      <c r="L239" s="15" t="n">
        <v>1094</v>
      </c>
      <c r="M239" s="15" t="n">
        <v>26</v>
      </c>
    </row>
    <row r="240" customFormat="false" ht="15" hidden="false" customHeight="false" outlineLevel="0" collapsed="false">
      <c r="A240" s="12" t="s">
        <v>34</v>
      </c>
      <c r="B240" s="7" t="s">
        <v>35</v>
      </c>
      <c r="C240" s="12" t="s">
        <v>85</v>
      </c>
      <c r="D240" s="7" t="s">
        <v>31</v>
      </c>
      <c r="E240" s="7" t="s">
        <v>31</v>
      </c>
      <c r="F240" s="12" t="n">
        <f aca="false">IF(D240=E240,1,0)</f>
        <v>1</v>
      </c>
      <c r="G240" s="13" t="n">
        <v>0.0272572402044293</v>
      </c>
      <c r="H240" s="14" t="n">
        <v>0.29393367341999</v>
      </c>
      <c r="I240" s="14" t="n">
        <v>0.236612094332052</v>
      </c>
      <c r="J240" s="14" t="n">
        <v>0.469454232247958</v>
      </c>
      <c r="K240" s="12" t="s">
        <v>86</v>
      </c>
      <c r="L240" s="15" t="n">
        <v>1094</v>
      </c>
      <c r="M240" s="15" t="n">
        <v>26</v>
      </c>
    </row>
    <row r="241" customFormat="false" ht="15" hidden="false" customHeight="false" outlineLevel="0" collapsed="false">
      <c r="A241" s="12" t="s">
        <v>36</v>
      </c>
      <c r="B241" s="7" t="s">
        <v>37</v>
      </c>
      <c r="C241" s="12" t="s">
        <v>85</v>
      </c>
      <c r="D241" s="7" t="s">
        <v>31</v>
      </c>
      <c r="E241" s="7" t="s">
        <v>31</v>
      </c>
      <c r="F241" s="12" t="n">
        <f aca="false">IF(D241=E241,1,0)</f>
        <v>1</v>
      </c>
      <c r="G241" s="13" t="n">
        <v>0.0106157112526539</v>
      </c>
      <c r="H241" s="14" t="n">
        <v>0.342077366315446</v>
      </c>
      <c r="I241" s="14" t="n">
        <v>0.29268524555229</v>
      </c>
      <c r="J241" s="14" t="n">
        <v>0.365237388132264</v>
      </c>
      <c r="K241" s="12" t="s">
        <v>86</v>
      </c>
      <c r="L241" s="15" t="n">
        <v>1094</v>
      </c>
      <c r="M241" s="15" t="n">
        <v>26</v>
      </c>
    </row>
    <row r="242" customFormat="false" ht="15" hidden="false" customHeight="false" outlineLevel="0" collapsed="false">
      <c r="A242" s="12" t="s">
        <v>38</v>
      </c>
      <c r="B242" s="7" t="s">
        <v>39</v>
      </c>
      <c r="C242" s="12" t="s">
        <v>85</v>
      </c>
      <c r="D242" s="7" t="s">
        <v>31</v>
      </c>
      <c r="E242" s="7" t="s">
        <v>32</v>
      </c>
      <c r="F242" s="12" t="n">
        <f aca="false">IF(D242=E242,1,0)</f>
        <v>0</v>
      </c>
      <c r="G242" s="13" t="n">
        <v>-0.0065861690450055</v>
      </c>
      <c r="H242" s="14" t="n">
        <v>0.236718955124247</v>
      </c>
      <c r="I242" s="14" t="n">
        <v>0.309108376060293</v>
      </c>
      <c r="J242" s="14" t="n">
        <v>0.45417266881546</v>
      </c>
      <c r="K242" s="12" t="s">
        <v>86</v>
      </c>
      <c r="L242" s="15" t="n">
        <v>1094</v>
      </c>
      <c r="M242" s="15" t="n">
        <v>26</v>
      </c>
    </row>
    <row r="243" customFormat="false" ht="15" hidden="false" customHeight="false" outlineLevel="0" collapsed="false">
      <c r="A243" s="12" t="s">
        <v>41</v>
      </c>
      <c r="B243" s="7" t="s">
        <v>42</v>
      </c>
      <c r="C243" s="12" t="s">
        <v>85</v>
      </c>
      <c r="D243" s="7" t="s">
        <v>40</v>
      </c>
      <c r="E243" s="7" t="s">
        <v>31</v>
      </c>
      <c r="F243" s="12" t="n">
        <f aca="false">IF(D243=E243,1,0)</f>
        <v>0</v>
      </c>
      <c r="G243" s="13" t="n">
        <v>0.03125</v>
      </c>
      <c r="H243" s="14" t="n">
        <v>0.354366622763194</v>
      </c>
      <c r="I243" s="14" t="n">
        <v>0.355419369371647</v>
      </c>
      <c r="J243" s="14" t="n">
        <v>0.290214007865159</v>
      </c>
      <c r="K243" s="12" t="s">
        <v>86</v>
      </c>
      <c r="L243" s="15" t="n">
        <v>1094</v>
      </c>
      <c r="M243" s="15" t="n">
        <v>26</v>
      </c>
    </row>
    <row r="244" customFormat="false" ht="15" hidden="false" customHeight="false" outlineLevel="0" collapsed="false">
      <c r="A244" s="12" t="s">
        <v>43</v>
      </c>
      <c r="B244" s="7" t="s">
        <v>44</v>
      </c>
      <c r="C244" s="12" t="s">
        <v>85</v>
      </c>
      <c r="D244" s="7" t="s">
        <v>32</v>
      </c>
      <c r="E244" s="7" t="s">
        <v>31</v>
      </c>
      <c r="F244" s="12" t="n">
        <f aca="false">IF(D244=E244,1,0)</f>
        <v>0</v>
      </c>
      <c r="G244" s="13" t="n">
        <v>0.0113378684807257</v>
      </c>
      <c r="H244" s="14" t="n">
        <v>0.387332768962591</v>
      </c>
      <c r="I244" s="14" t="n">
        <v>0.280426836237424</v>
      </c>
      <c r="J244" s="14" t="n">
        <v>0.332240394799986</v>
      </c>
      <c r="K244" s="12" t="s">
        <v>86</v>
      </c>
      <c r="L244" s="15" t="n">
        <v>1094</v>
      </c>
      <c r="M244" s="15" t="n">
        <v>26</v>
      </c>
    </row>
    <row r="245" customFormat="false" ht="15" hidden="false" customHeight="false" outlineLevel="0" collapsed="false">
      <c r="A245" s="12" t="s">
        <v>28</v>
      </c>
      <c r="B245" s="7" t="s">
        <v>29</v>
      </c>
      <c r="C245" s="12" t="s">
        <v>87</v>
      </c>
      <c r="D245" s="7" t="s">
        <v>31</v>
      </c>
      <c r="E245" s="7" t="s">
        <v>31</v>
      </c>
      <c r="F245" s="12" t="n">
        <f aca="false">IF(D245=E245,1,0)</f>
        <v>1</v>
      </c>
      <c r="G245" s="13" t="n">
        <v>0.0402542372881356</v>
      </c>
      <c r="H245" s="14" t="n">
        <v>0.298633903407027</v>
      </c>
      <c r="I245" s="14" t="n">
        <v>0.259678325672126</v>
      </c>
      <c r="J245" s="14" t="n">
        <v>0.441687770920847</v>
      </c>
      <c r="K245" s="12" t="s">
        <v>86</v>
      </c>
      <c r="L245" s="15" t="n">
        <v>1094</v>
      </c>
      <c r="M245" s="15" t="n">
        <v>26</v>
      </c>
    </row>
    <row r="246" customFormat="false" ht="15" hidden="false" customHeight="false" outlineLevel="0" collapsed="false">
      <c r="A246" s="12" t="s">
        <v>34</v>
      </c>
      <c r="B246" s="7" t="s">
        <v>35</v>
      </c>
      <c r="C246" s="12" t="s">
        <v>87</v>
      </c>
      <c r="D246" s="7" t="s">
        <v>40</v>
      </c>
      <c r="E246" s="7" t="s">
        <v>31</v>
      </c>
      <c r="F246" s="12" t="n">
        <f aca="false">IF(D246=E246,1,0)</f>
        <v>0</v>
      </c>
      <c r="G246" s="13" t="n">
        <v>0.0248756218905472</v>
      </c>
      <c r="H246" s="14" t="n">
        <v>0.30370917374592</v>
      </c>
      <c r="I246" s="14" t="n">
        <v>0.355165931992563</v>
      </c>
      <c r="J246" s="14" t="n">
        <v>0.341124894261517</v>
      </c>
      <c r="K246" s="12" t="s">
        <v>86</v>
      </c>
      <c r="L246" s="15" t="n">
        <v>1094</v>
      </c>
      <c r="M246" s="15" t="n">
        <v>26</v>
      </c>
    </row>
    <row r="247" customFormat="false" ht="15" hidden="false" customHeight="false" outlineLevel="0" collapsed="false">
      <c r="A247" s="12" t="s">
        <v>36</v>
      </c>
      <c r="B247" s="7" t="s">
        <v>37</v>
      </c>
      <c r="C247" s="12" t="s">
        <v>87</v>
      </c>
      <c r="D247" s="7" t="s">
        <v>32</v>
      </c>
      <c r="E247" s="7" t="s">
        <v>31</v>
      </c>
      <c r="F247" s="12" t="n">
        <f aca="false">IF(D247=E247,1,0)</f>
        <v>0</v>
      </c>
      <c r="G247" s="13" t="n">
        <v>0.01890756302521</v>
      </c>
      <c r="H247" s="14" t="n">
        <v>0.343659931340809</v>
      </c>
      <c r="I247" s="14" t="n">
        <v>0.342860346970512</v>
      </c>
      <c r="J247" s="14" t="n">
        <v>0.31347972168868</v>
      </c>
      <c r="K247" s="12" t="s">
        <v>86</v>
      </c>
      <c r="L247" s="15" t="n">
        <v>1094</v>
      </c>
      <c r="M247" s="15" t="n">
        <v>26</v>
      </c>
    </row>
    <row r="248" customFormat="false" ht="15" hidden="false" customHeight="false" outlineLevel="0" collapsed="false">
      <c r="A248" s="12" t="s">
        <v>38</v>
      </c>
      <c r="B248" s="7" t="s">
        <v>39</v>
      </c>
      <c r="C248" s="12" t="s">
        <v>87</v>
      </c>
      <c r="D248" s="7" t="s">
        <v>31</v>
      </c>
      <c r="E248" s="7" t="s">
        <v>40</v>
      </c>
      <c r="F248" s="12" t="n">
        <f aca="false">IF(D248=E248,1,0)</f>
        <v>0</v>
      </c>
      <c r="G248" s="13" t="n">
        <v>0.0044198895027625</v>
      </c>
      <c r="H248" s="14" t="n">
        <v>0.268292297528153</v>
      </c>
      <c r="I248" s="14" t="n">
        <v>0.256490262044103</v>
      </c>
      <c r="J248" s="14" t="n">
        <v>0.475217440427744</v>
      </c>
      <c r="K248" s="12" t="s">
        <v>86</v>
      </c>
      <c r="L248" s="15" t="n">
        <v>1094</v>
      </c>
      <c r="M248" s="15" t="n">
        <v>26</v>
      </c>
    </row>
    <row r="249" customFormat="false" ht="15" hidden="false" customHeight="false" outlineLevel="0" collapsed="false">
      <c r="A249" s="12" t="s">
        <v>41</v>
      </c>
      <c r="B249" s="7" t="s">
        <v>42</v>
      </c>
      <c r="C249" s="12" t="s">
        <v>87</v>
      </c>
      <c r="D249" s="7" t="s">
        <v>32</v>
      </c>
      <c r="E249" s="7" t="s">
        <v>31</v>
      </c>
      <c r="F249" s="12" t="n">
        <f aca="false">IF(D249=E249,1,0)</f>
        <v>0</v>
      </c>
      <c r="G249" s="13" t="n">
        <v>0.0259740259740259</v>
      </c>
      <c r="H249" s="14" t="n">
        <v>0.360526541788454</v>
      </c>
      <c r="I249" s="14" t="n">
        <v>0.30065260295271</v>
      </c>
      <c r="J249" s="14" t="n">
        <v>0.338820855258836</v>
      </c>
      <c r="K249" s="12" t="s">
        <v>86</v>
      </c>
      <c r="L249" s="15" t="n">
        <v>1094</v>
      </c>
      <c r="M249" s="15" t="n">
        <v>26</v>
      </c>
    </row>
    <row r="250" customFormat="false" ht="15" hidden="false" customHeight="false" outlineLevel="0" collapsed="false">
      <c r="A250" s="12" t="s">
        <v>43</v>
      </c>
      <c r="B250" s="7" t="s">
        <v>44</v>
      </c>
      <c r="C250" s="12" t="s">
        <v>87</v>
      </c>
      <c r="D250" s="7" t="s">
        <v>31</v>
      </c>
      <c r="E250" s="7" t="s">
        <v>31</v>
      </c>
      <c r="F250" s="12" t="n">
        <f aca="false">IF(D250=E250,1,0)</f>
        <v>1</v>
      </c>
      <c r="G250" s="13" t="n">
        <v>0.0291479820627802</v>
      </c>
      <c r="H250" s="14" t="n">
        <v>0.365377944613374</v>
      </c>
      <c r="I250" s="14" t="n">
        <v>0.26268685165222</v>
      </c>
      <c r="J250" s="14" t="n">
        <v>0.371935203734407</v>
      </c>
      <c r="K250" s="12" t="s">
        <v>86</v>
      </c>
      <c r="L250" s="15" t="n">
        <v>1094</v>
      </c>
      <c r="M250" s="15" t="n">
        <v>26</v>
      </c>
    </row>
    <row r="251" customFormat="false" ht="15" hidden="false" customHeight="false" outlineLevel="0" collapsed="false">
      <c r="A251" s="12" t="s">
        <v>28</v>
      </c>
      <c r="B251" s="7" t="s">
        <v>29</v>
      </c>
      <c r="C251" s="12" t="s">
        <v>88</v>
      </c>
      <c r="D251" s="7" t="s">
        <v>32</v>
      </c>
      <c r="E251" s="7" t="s">
        <v>32</v>
      </c>
      <c r="F251" s="12" t="n">
        <f aca="false">IF(D251=E251,1,0)</f>
        <v>1</v>
      </c>
      <c r="G251" s="13" t="n">
        <v>-0.0122199592668024</v>
      </c>
      <c r="H251" s="14" t="n">
        <v>0.34200453041114</v>
      </c>
      <c r="I251" s="14" t="n">
        <v>0.324991469612399</v>
      </c>
      <c r="J251" s="14" t="n">
        <v>0.333003999976461</v>
      </c>
      <c r="K251" s="12" t="s">
        <v>86</v>
      </c>
      <c r="L251" s="15" t="n">
        <v>1094</v>
      </c>
      <c r="M251" s="15" t="n">
        <v>26</v>
      </c>
    </row>
    <row r="252" customFormat="false" ht="15" hidden="false" customHeight="false" outlineLevel="0" collapsed="false">
      <c r="A252" s="12" t="s">
        <v>34</v>
      </c>
      <c r="B252" s="7" t="s">
        <v>35</v>
      </c>
      <c r="C252" s="12" t="s">
        <v>88</v>
      </c>
      <c r="D252" s="7" t="s">
        <v>31</v>
      </c>
      <c r="E252" s="7" t="s">
        <v>32</v>
      </c>
      <c r="F252" s="12" t="n">
        <f aca="false">IF(D252=E252,1,0)</f>
        <v>0</v>
      </c>
      <c r="G252" s="13" t="n">
        <v>-0.0517799352750809</v>
      </c>
      <c r="H252" s="14" t="n">
        <v>0.344331592607646</v>
      </c>
      <c r="I252" s="14" t="n">
        <v>0.31027035961941</v>
      </c>
      <c r="J252" s="14" t="n">
        <v>0.345398047772944</v>
      </c>
      <c r="K252" s="12" t="s">
        <v>86</v>
      </c>
      <c r="L252" s="15" t="n">
        <v>1094</v>
      </c>
      <c r="M252" s="15" t="n">
        <v>26</v>
      </c>
    </row>
    <row r="253" customFormat="false" ht="15" hidden="false" customHeight="false" outlineLevel="0" collapsed="false">
      <c r="A253" s="12" t="s">
        <v>36</v>
      </c>
      <c r="B253" s="7" t="s">
        <v>37</v>
      </c>
      <c r="C253" s="12" t="s">
        <v>88</v>
      </c>
      <c r="D253" s="7" t="s">
        <v>31</v>
      </c>
      <c r="E253" s="7" t="s">
        <v>32</v>
      </c>
      <c r="F253" s="12" t="n">
        <f aca="false">IF(D253=E253,1,0)</f>
        <v>0</v>
      </c>
      <c r="G253" s="13" t="n">
        <v>-0.0164948453608247</v>
      </c>
      <c r="H253" s="14" t="n">
        <v>0.30692345391212</v>
      </c>
      <c r="I253" s="14" t="n">
        <v>0.331986270103326</v>
      </c>
      <c r="J253" s="14" t="n">
        <v>0.361090275984554</v>
      </c>
      <c r="K253" s="12" t="s">
        <v>86</v>
      </c>
      <c r="L253" s="15" t="n">
        <v>1094</v>
      </c>
      <c r="M253" s="15" t="n">
        <v>26</v>
      </c>
    </row>
    <row r="254" customFormat="false" ht="15" hidden="false" customHeight="false" outlineLevel="0" collapsed="false">
      <c r="A254" s="12" t="s">
        <v>38</v>
      </c>
      <c r="B254" s="7" t="s">
        <v>39</v>
      </c>
      <c r="C254" s="12" t="s">
        <v>88</v>
      </c>
      <c r="D254" s="7" t="s">
        <v>31</v>
      </c>
      <c r="E254" s="7" t="s">
        <v>32</v>
      </c>
      <c r="F254" s="12" t="n">
        <f aca="false">IF(D254=E254,1,0)</f>
        <v>0</v>
      </c>
      <c r="G254" s="13" t="n">
        <v>-0.0253025302530253</v>
      </c>
      <c r="H254" s="14" t="n">
        <v>0.318668329000537</v>
      </c>
      <c r="I254" s="14" t="n">
        <v>0.270614412557931</v>
      </c>
      <c r="J254" s="14" t="n">
        <v>0.410717258441532</v>
      </c>
      <c r="K254" s="12" t="s">
        <v>86</v>
      </c>
      <c r="L254" s="15" t="n">
        <v>1094</v>
      </c>
      <c r="M254" s="15" t="n">
        <v>26</v>
      </c>
    </row>
    <row r="255" customFormat="false" ht="15" hidden="false" customHeight="false" outlineLevel="0" collapsed="false">
      <c r="A255" s="12" t="s">
        <v>41</v>
      </c>
      <c r="B255" s="7" t="s">
        <v>42</v>
      </c>
      <c r="C255" s="12" t="s">
        <v>88</v>
      </c>
      <c r="D255" s="7" t="s">
        <v>32</v>
      </c>
      <c r="E255" s="7" t="s">
        <v>40</v>
      </c>
      <c r="F255" s="12" t="n">
        <f aca="false">IF(D255=E255,1,0)</f>
        <v>0</v>
      </c>
      <c r="G255" s="13" t="n">
        <v>-0.0042194092827003</v>
      </c>
      <c r="H255" s="14" t="n">
        <v>0.398550877221579</v>
      </c>
      <c r="I255" s="14" t="n">
        <v>0.258047781626731</v>
      </c>
      <c r="J255" s="14" t="n">
        <v>0.343401341151691</v>
      </c>
      <c r="K255" s="12" t="s">
        <v>86</v>
      </c>
      <c r="L255" s="15" t="n">
        <v>1094</v>
      </c>
      <c r="M255" s="15" t="n">
        <v>26</v>
      </c>
    </row>
    <row r="256" customFormat="false" ht="15" hidden="false" customHeight="false" outlineLevel="0" collapsed="false">
      <c r="A256" s="12" t="s">
        <v>43</v>
      </c>
      <c r="B256" s="7" t="s">
        <v>44</v>
      </c>
      <c r="C256" s="12" t="s">
        <v>88</v>
      </c>
      <c r="D256" s="7" t="s">
        <v>32</v>
      </c>
      <c r="E256" s="7" t="s">
        <v>31</v>
      </c>
      <c r="F256" s="12" t="n">
        <f aca="false">IF(D256=E256,1,0)</f>
        <v>0</v>
      </c>
      <c r="G256" s="13" t="n">
        <v>0.028322440087146</v>
      </c>
      <c r="H256" s="14" t="n">
        <v>0.394051111211485</v>
      </c>
      <c r="I256" s="14" t="n">
        <v>0.292797432896563</v>
      </c>
      <c r="J256" s="14" t="n">
        <v>0.313151455891951</v>
      </c>
      <c r="K256" s="12" t="s">
        <v>86</v>
      </c>
      <c r="L256" s="15" t="n">
        <v>1094</v>
      </c>
      <c r="M256" s="15" t="n">
        <v>26</v>
      </c>
    </row>
    <row r="257" customFormat="false" ht="15" hidden="false" customHeight="false" outlineLevel="0" collapsed="false">
      <c r="A257" s="12" t="s">
        <v>28</v>
      </c>
      <c r="B257" s="7" t="s">
        <v>29</v>
      </c>
      <c r="C257" s="12" t="s">
        <v>89</v>
      </c>
      <c r="D257" s="7" t="s">
        <v>31</v>
      </c>
      <c r="E257" s="7" t="s">
        <v>32</v>
      </c>
      <c r="F257" s="12" t="n">
        <f aca="false">IF(D257=E257,1,0)</f>
        <v>0</v>
      </c>
      <c r="G257" s="13" t="n">
        <v>-0.0515463917525773</v>
      </c>
      <c r="H257" s="14" t="n">
        <v>0.350953683959497</v>
      </c>
      <c r="I257" s="14" t="n">
        <v>0.276128806706202</v>
      </c>
      <c r="J257" s="14" t="n">
        <v>0.372917509334302</v>
      </c>
      <c r="K257" s="12" t="s">
        <v>86</v>
      </c>
      <c r="L257" s="15" t="n">
        <v>1094</v>
      </c>
      <c r="M257" s="15" t="n">
        <v>26</v>
      </c>
    </row>
    <row r="258" customFormat="false" ht="15" hidden="false" customHeight="false" outlineLevel="0" collapsed="false">
      <c r="A258" s="12" t="s">
        <v>34</v>
      </c>
      <c r="B258" s="7" t="s">
        <v>35</v>
      </c>
      <c r="C258" s="12" t="s">
        <v>89</v>
      </c>
      <c r="D258" s="7" t="s">
        <v>31</v>
      </c>
      <c r="E258" s="7" t="s">
        <v>32</v>
      </c>
      <c r="F258" s="12" t="n">
        <f aca="false">IF(D258=E258,1,0)</f>
        <v>0</v>
      </c>
      <c r="G258" s="13" t="n">
        <v>-0.0290102389078498</v>
      </c>
      <c r="H258" s="14" t="n">
        <v>0.310157331884345</v>
      </c>
      <c r="I258" s="14" t="n">
        <v>0.340987511329323</v>
      </c>
      <c r="J258" s="14" t="n">
        <v>0.348855156786332</v>
      </c>
      <c r="K258" s="12" t="s">
        <v>86</v>
      </c>
      <c r="L258" s="15" t="n">
        <v>1094</v>
      </c>
      <c r="M258" s="15" t="n">
        <v>26</v>
      </c>
    </row>
    <row r="259" customFormat="false" ht="15" hidden="false" customHeight="false" outlineLevel="0" collapsed="false">
      <c r="A259" s="12" t="s">
        <v>36</v>
      </c>
      <c r="B259" s="7" t="s">
        <v>37</v>
      </c>
      <c r="C259" s="12" t="s">
        <v>89</v>
      </c>
      <c r="D259" s="7" t="s">
        <v>40</v>
      </c>
      <c r="E259" s="7" t="s">
        <v>32</v>
      </c>
      <c r="F259" s="12" t="n">
        <f aca="false">IF(D259=E259,1,0)</f>
        <v>0</v>
      </c>
      <c r="G259" s="13" t="n">
        <v>-0.0083857442348008</v>
      </c>
      <c r="H259" s="14" t="n">
        <v>0.328604057324358</v>
      </c>
      <c r="I259" s="14" t="n">
        <v>0.343925479699817</v>
      </c>
      <c r="J259" s="14" t="n">
        <v>0.327470462975825</v>
      </c>
      <c r="K259" s="12" t="s">
        <v>86</v>
      </c>
      <c r="L259" s="15" t="n">
        <v>1094</v>
      </c>
      <c r="M259" s="15" t="n">
        <v>26</v>
      </c>
    </row>
    <row r="260" customFormat="false" ht="15" hidden="false" customHeight="false" outlineLevel="0" collapsed="false">
      <c r="A260" s="12" t="s">
        <v>38</v>
      </c>
      <c r="B260" s="7" t="s">
        <v>39</v>
      </c>
      <c r="C260" s="12" t="s">
        <v>89</v>
      </c>
      <c r="D260" s="7" t="s">
        <v>31</v>
      </c>
      <c r="E260" s="7" t="s">
        <v>32</v>
      </c>
      <c r="F260" s="12" t="n">
        <f aca="false">IF(D260=E260,1,0)</f>
        <v>0</v>
      </c>
      <c r="G260" s="13" t="n">
        <v>-0.0293453724604966</v>
      </c>
      <c r="H260" s="14" t="n">
        <v>0.308898676024222</v>
      </c>
      <c r="I260" s="14" t="n">
        <v>0.233732010803955</v>
      </c>
      <c r="J260" s="14" t="n">
        <v>0.457369313171823</v>
      </c>
      <c r="K260" s="12" t="s">
        <v>86</v>
      </c>
      <c r="L260" s="15" t="n">
        <v>1094</v>
      </c>
      <c r="M260" s="15" t="n">
        <v>26</v>
      </c>
    </row>
    <row r="261" customFormat="false" ht="15" hidden="false" customHeight="false" outlineLevel="0" collapsed="false">
      <c r="A261" s="12" t="s">
        <v>41</v>
      </c>
      <c r="B261" s="7" t="s">
        <v>42</v>
      </c>
      <c r="C261" s="12" t="s">
        <v>89</v>
      </c>
      <c r="D261" s="7" t="s">
        <v>32</v>
      </c>
      <c r="E261" s="7" t="s">
        <v>32</v>
      </c>
      <c r="F261" s="12" t="n">
        <f aca="false">IF(D261=E261,1,0)</f>
        <v>1</v>
      </c>
      <c r="G261" s="13" t="n">
        <v>-0.0169491525423728</v>
      </c>
      <c r="H261" s="14" t="n">
        <v>0.37114654603434</v>
      </c>
      <c r="I261" s="14" t="n">
        <v>0.334380127865272</v>
      </c>
      <c r="J261" s="14" t="n">
        <v>0.294473326100388</v>
      </c>
      <c r="K261" s="12" t="s">
        <v>86</v>
      </c>
      <c r="L261" s="15" t="n">
        <v>1094</v>
      </c>
      <c r="M261" s="15" t="n">
        <v>26</v>
      </c>
    </row>
    <row r="262" customFormat="false" ht="15" hidden="false" customHeight="false" outlineLevel="0" collapsed="false">
      <c r="A262" s="12" t="s">
        <v>43</v>
      </c>
      <c r="B262" s="7" t="s">
        <v>44</v>
      </c>
      <c r="C262" s="12" t="s">
        <v>89</v>
      </c>
      <c r="D262" s="7" t="s">
        <v>32</v>
      </c>
      <c r="E262" s="7" t="s">
        <v>31</v>
      </c>
      <c r="F262" s="12" t="n">
        <f aca="false">IF(D262=E262,1,0)</f>
        <v>0</v>
      </c>
      <c r="G262" s="13" t="n">
        <v>0.0593220338983049</v>
      </c>
      <c r="H262" s="14" t="n">
        <v>0.361898119762595</v>
      </c>
      <c r="I262" s="14" t="n">
        <v>0.287328116177822</v>
      </c>
      <c r="J262" s="14" t="n">
        <v>0.350773764059583</v>
      </c>
      <c r="K262" s="12" t="s">
        <v>86</v>
      </c>
      <c r="L262" s="15" t="n">
        <v>1094</v>
      </c>
      <c r="M262" s="15" t="n">
        <v>26</v>
      </c>
    </row>
    <row r="263" customFormat="false" ht="15" hidden="false" customHeight="false" outlineLevel="0" collapsed="false">
      <c r="A263" s="12" t="s">
        <v>28</v>
      </c>
      <c r="B263" s="7" t="s">
        <v>29</v>
      </c>
      <c r="C263" s="12" t="s">
        <v>90</v>
      </c>
      <c r="D263" s="7" t="s">
        <v>31</v>
      </c>
      <c r="E263" s="7" t="s">
        <v>32</v>
      </c>
      <c r="F263" s="12" t="n">
        <f aca="false">IF(D263=E263,1,0)</f>
        <v>0</v>
      </c>
      <c r="G263" s="13" t="n">
        <v>-0.0195652173913043</v>
      </c>
      <c r="H263" s="14" t="n">
        <v>0.313818755258914</v>
      </c>
      <c r="I263" s="14" t="n">
        <v>0.211427749741134</v>
      </c>
      <c r="J263" s="14" t="n">
        <v>0.474753494999951</v>
      </c>
      <c r="K263" s="12" t="s">
        <v>86</v>
      </c>
      <c r="L263" s="15" t="n">
        <v>1094</v>
      </c>
      <c r="M263" s="15" t="n">
        <v>26</v>
      </c>
    </row>
    <row r="264" customFormat="false" ht="15" hidden="false" customHeight="false" outlineLevel="0" collapsed="false">
      <c r="A264" s="12" t="s">
        <v>34</v>
      </c>
      <c r="B264" s="7" t="s">
        <v>35</v>
      </c>
      <c r="C264" s="12" t="s">
        <v>90</v>
      </c>
      <c r="D264" s="7" t="s">
        <v>32</v>
      </c>
      <c r="E264" s="7" t="s">
        <v>32</v>
      </c>
      <c r="F264" s="12" t="n">
        <f aca="false">IF(D264=E264,1,0)</f>
        <v>1</v>
      </c>
      <c r="G264" s="13" t="n">
        <v>-0.0527240773286467</v>
      </c>
      <c r="H264" s="14" t="n">
        <v>0.378991100482746</v>
      </c>
      <c r="I264" s="14" t="n">
        <v>0.256263208925701</v>
      </c>
      <c r="J264" s="14" t="n">
        <v>0.364745690591553</v>
      </c>
      <c r="K264" s="12" t="s">
        <v>86</v>
      </c>
      <c r="L264" s="15" t="n">
        <v>1094</v>
      </c>
      <c r="M264" s="15" t="n">
        <v>26</v>
      </c>
    </row>
    <row r="265" customFormat="false" ht="15" hidden="false" customHeight="false" outlineLevel="0" collapsed="false">
      <c r="A265" s="12" t="s">
        <v>36</v>
      </c>
      <c r="B265" s="7" t="s">
        <v>37</v>
      </c>
      <c r="C265" s="12" t="s">
        <v>90</v>
      </c>
      <c r="D265" s="7" t="s">
        <v>31</v>
      </c>
      <c r="E265" s="7" t="s">
        <v>32</v>
      </c>
      <c r="F265" s="12" t="n">
        <f aca="false">IF(D265=E265,1,0)</f>
        <v>0</v>
      </c>
      <c r="G265" s="13" t="n">
        <v>-0.0295983086680761</v>
      </c>
      <c r="H265" s="14" t="n">
        <v>0.354235357833258</v>
      </c>
      <c r="I265" s="14" t="n">
        <v>0.269010953332808</v>
      </c>
      <c r="J265" s="14" t="n">
        <v>0.376753688833934</v>
      </c>
      <c r="K265" s="12" t="s">
        <v>86</v>
      </c>
      <c r="L265" s="15" t="n">
        <v>1094</v>
      </c>
      <c r="M265" s="15" t="n">
        <v>26</v>
      </c>
    </row>
    <row r="266" customFormat="false" ht="15" hidden="false" customHeight="false" outlineLevel="0" collapsed="false">
      <c r="A266" s="12" t="s">
        <v>38</v>
      </c>
      <c r="B266" s="7" t="s">
        <v>39</v>
      </c>
      <c r="C266" s="12" t="s">
        <v>90</v>
      </c>
      <c r="D266" s="7" t="s">
        <v>31</v>
      </c>
      <c r="E266" s="7" t="s">
        <v>32</v>
      </c>
      <c r="F266" s="12" t="n">
        <f aca="false">IF(D266=E266,1,0)</f>
        <v>0</v>
      </c>
      <c r="G266" s="13" t="n">
        <v>-0.0534883720930232</v>
      </c>
      <c r="H266" s="14" t="n">
        <v>0.375509896684169</v>
      </c>
      <c r="I266" s="14" t="n">
        <v>0.217210104585938</v>
      </c>
      <c r="J266" s="14" t="n">
        <v>0.407279998729893</v>
      </c>
      <c r="K266" s="12" t="s">
        <v>86</v>
      </c>
      <c r="L266" s="15" t="n">
        <v>1094</v>
      </c>
      <c r="M266" s="15" t="n">
        <v>26</v>
      </c>
    </row>
    <row r="267" customFormat="false" ht="15" hidden="false" customHeight="false" outlineLevel="0" collapsed="false">
      <c r="A267" s="12" t="s">
        <v>41</v>
      </c>
      <c r="B267" s="7" t="s">
        <v>42</v>
      </c>
      <c r="C267" s="12" t="s">
        <v>90</v>
      </c>
      <c r="D267" s="7" t="s">
        <v>40</v>
      </c>
      <c r="E267" s="7" t="s">
        <v>32</v>
      </c>
      <c r="F267" s="12" t="n">
        <f aca="false">IF(D267=E267,1,0)</f>
        <v>0</v>
      </c>
      <c r="G267" s="13" t="n">
        <v>-0.0344827586206896</v>
      </c>
      <c r="H267" s="14" t="n">
        <v>0.284293207076698</v>
      </c>
      <c r="I267" s="14" t="n">
        <v>0.369455867015951</v>
      </c>
      <c r="J267" s="14" t="n">
        <v>0.346250925907351</v>
      </c>
      <c r="K267" s="12" t="s">
        <v>86</v>
      </c>
      <c r="L267" s="15" t="n">
        <v>1094</v>
      </c>
      <c r="M267" s="15" t="n">
        <v>26</v>
      </c>
    </row>
    <row r="268" customFormat="false" ht="15" hidden="false" customHeight="false" outlineLevel="0" collapsed="false">
      <c r="A268" s="12" t="s">
        <v>43</v>
      </c>
      <c r="B268" s="7" t="s">
        <v>44</v>
      </c>
      <c r="C268" s="12" t="s">
        <v>90</v>
      </c>
      <c r="D268" s="7" t="s">
        <v>32</v>
      </c>
      <c r="E268" s="7" t="s">
        <v>32</v>
      </c>
      <c r="F268" s="12" t="n">
        <f aca="false">IF(D268=E268,1,0)</f>
        <v>1</v>
      </c>
      <c r="G268" s="13" t="n">
        <v>-0.05</v>
      </c>
      <c r="H268" s="14" t="n">
        <v>0.414222176986729</v>
      </c>
      <c r="I268" s="14" t="n">
        <v>0.281901238667359</v>
      </c>
      <c r="J268" s="14" t="n">
        <v>0.303876584345912</v>
      </c>
      <c r="K268" s="12" t="s">
        <v>86</v>
      </c>
      <c r="L268" s="15" t="n">
        <v>1094</v>
      </c>
      <c r="M268" s="15" t="n">
        <v>26</v>
      </c>
    </row>
    <row r="269" customFormat="false" ht="15" hidden="false" customHeight="false" outlineLevel="0" collapsed="false">
      <c r="A269" s="12" t="s">
        <v>28</v>
      </c>
      <c r="B269" s="7" t="s">
        <v>29</v>
      </c>
      <c r="C269" s="12" t="s">
        <v>91</v>
      </c>
      <c r="D269" s="7" t="s">
        <v>31</v>
      </c>
      <c r="E269" s="7" t="s">
        <v>31</v>
      </c>
      <c r="F269" s="12" t="n">
        <f aca="false">IF(D269=E269,1,0)</f>
        <v>1</v>
      </c>
      <c r="G269" s="13" t="n">
        <v>0.0709534368070954</v>
      </c>
      <c r="H269" s="14" t="n">
        <v>0.308267915260067</v>
      </c>
      <c r="I269" s="14" t="n">
        <v>0.234067008470537</v>
      </c>
      <c r="J269" s="14" t="n">
        <v>0.457665076269396</v>
      </c>
      <c r="K269" s="12" t="s">
        <v>86</v>
      </c>
      <c r="L269" s="15" t="n">
        <v>1094</v>
      </c>
      <c r="M269" s="15" t="n">
        <v>26</v>
      </c>
    </row>
    <row r="270" customFormat="false" ht="15" hidden="false" customHeight="false" outlineLevel="0" collapsed="false">
      <c r="A270" s="12" t="s">
        <v>34</v>
      </c>
      <c r="B270" s="7" t="s">
        <v>35</v>
      </c>
      <c r="C270" s="12" t="s">
        <v>91</v>
      </c>
      <c r="D270" s="7" t="s">
        <v>31</v>
      </c>
      <c r="E270" s="7" t="s">
        <v>31</v>
      </c>
      <c r="F270" s="12" t="n">
        <f aca="false">IF(D270=E270,1,0)</f>
        <v>1</v>
      </c>
      <c r="G270" s="13" t="n">
        <v>0.0296846011131726</v>
      </c>
      <c r="H270" s="14" t="n">
        <v>0.354302454132384</v>
      </c>
      <c r="I270" s="14" t="n">
        <v>0.259342011662941</v>
      </c>
      <c r="J270" s="14" t="n">
        <v>0.386355534204675</v>
      </c>
      <c r="K270" s="12" t="s">
        <v>86</v>
      </c>
      <c r="L270" s="15" t="n">
        <v>1094</v>
      </c>
      <c r="M270" s="15" t="n">
        <v>26</v>
      </c>
    </row>
    <row r="271" customFormat="false" ht="15" hidden="false" customHeight="false" outlineLevel="0" collapsed="false">
      <c r="A271" s="12" t="s">
        <v>36</v>
      </c>
      <c r="B271" s="7" t="s">
        <v>37</v>
      </c>
      <c r="C271" s="12" t="s">
        <v>91</v>
      </c>
      <c r="D271" s="7" t="s">
        <v>31</v>
      </c>
      <c r="E271" s="7" t="s">
        <v>40</v>
      </c>
      <c r="F271" s="12" t="n">
        <f aca="false">IF(D271=E271,1,0)</f>
        <v>0</v>
      </c>
      <c r="G271" s="13" t="n">
        <v>0.0043572984749455</v>
      </c>
      <c r="H271" s="14" t="n">
        <v>0.369724820932321</v>
      </c>
      <c r="I271" s="14" t="n">
        <v>0.237265377702845</v>
      </c>
      <c r="J271" s="14" t="n">
        <v>0.393009801364834</v>
      </c>
      <c r="K271" s="12" t="s">
        <v>86</v>
      </c>
      <c r="L271" s="15" t="n">
        <v>1094</v>
      </c>
      <c r="M271" s="15" t="n">
        <v>26</v>
      </c>
    </row>
    <row r="272" customFormat="false" ht="15" hidden="false" customHeight="false" outlineLevel="0" collapsed="false">
      <c r="A272" s="12" t="s">
        <v>38</v>
      </c>
      <c r="B272" s="7" t="s">
        <v>39</v>
      </c>
      <c r="C272" s="12" t="s">
        <v>91</v>
      </c>
      <c r="D272" s="7" t="s">
        <v>31</v>
      </c>
      <c r="E272" s="7" t="s">
        <v>31</v>
      </c>
      <c r="F272" s="12" t="n">
        <f aca="false">IF(D272=E272,1,0)</f>
        <v>1</v>
      </c>
      <c r="G272" s="13" t="n">
        <v>0.0995085995085995</v>
      </c>
      <c r="H272" s="14" t="n">
        <v>0.318067611459283</v>
      </c>
      <c r="I272" s="14" t="n">
        <v>0.255947200222672</v>
      </c>
      <c r="J272" s="14" t="n">
        <v>0.425985188318045</v>
      </c>
      <c r="K272" s="12" t="s">
        <v>86</v>
      </c>
      <c r="L272" s="15" t="n">
        <v>1094</v>
      </c>
      <c r="M272" s="15" t="n">
        <v>26</v>
      </c>
    </row>
    <row r="273" customFormat="false" ht="15" hidden="false" customHeight="false" outlineLevel="0" collapsed="false">
      <c r="A273" s="12" t="s">
        <v>41</v>
      </c>
      <c r="B273" s="7" t="s">
        <v>42</v>
      </c>
      <c r="C273" s="12" t="s">
        <v>91</v>
      </c>
      <c r="D273" s="7" t="s">
        <v>31</v>
      </c>
      <c r="E273" s="7" t="s">
        <v>32</v>
      </c>
      <c r="F273" s="12" t="n">
        <f aca="false">IF(D273=E273,1,0)</f>
        <v>0</v>
      </c>
      <c r="G273" s="13" t="n">
        <v>-0.0089285714285713</v>
      </c>
      <c r="H273" s="14" t="n">
        <v>0.298688055300234</v>
      </c>
      <c r="I273" s="14" t="n">
        <v>0.324556249025964</v>
      </c>
      <c r="J273" s="14" t="n">
        <v>0.376755695673802</v>
      </c>
      <c r="K273" s="12" t="s">
        <v>86</v>
      </c>
      <c r="L273" s="15" t="n">
        <v>1094</v>
      </c>
      <c r="M273" s="15" t="n">
        <v>26</v>
      </c>
    </row>
    <row r="274" customFormat="false" ht="15" hidden="false" customHeight="false" outlineLevel="0" collapsed="false">
      <c r="A274" s="12" t="s">
        <v>43</v>
      </c>
      <c r="B274" s="7" t="s">
        <v>44</v>
      </c>
      <c r="C274" s="12" t="s">
        <v>91</v>
      </c>
      <c r="D274" s="7" t="s">
        <v>31</v>
      </c>
      <c r="E274" s="7" t="s">
        <v>31</v>
      </c>
      <c r="F274" s="12" t="n">
        <f aca="false">IF(D274=E274,1,0)</f>
        <v>1</v>
      </c>
      <c r="G274" s="13" t="n">
        <v>0.0947368421052632</v>
      </c>
      <c r="H274" s="14" t="n">
        <v>0.316669269200433</v>
      </c>
      <c r="I274" s="14" t="n">
        <v>0.261022089170922</v>
      </c>
      <c r="J274" s="14" t="n">
        <v>0.422308641628646</v>
      </c>
      <c r="K274" s="12" t="s">
        <v>86</v>
      </c>
      <c r="L274" s="15" t="n">
        <v>1094</v>
      </c>
      <c r="M274" s="15" t="n">
        <v>26</v>
      </c>
    </row>
    <row r="275" customFormat="false" ht="15" hidden="false" customHeight="false" outlineLevel="0" collapsed="false">
      <c r="A275" s="12" t="s">
        <v>28</v>
      </c>
      <c r="B275" s="7" t="s">
        <v>29</v>
      </c>
      <c r="C275" s="12" t="s">
        <v>92</v>
      </c>
      <c r="D275" s="7" t="s">
        <v>31</v>
      </c>
      <c r="E275" s="7" t="s">
        <v>32</v>
      </c>
      <c r="F275" s="12" t="n">
        <f aca="false">IF(D275=E275,1,0)</f>
        <v>0</v>
      </c>
      <c r="G275" s="13" t="n">
        <v>-0.0890269151138716</v>
      </c>
      <c r="H275" s="14" t="n">
        <v>0.376356994123574</v>
      </c>
      <c r="I275" s="14" t="n">
        <v>0.228268784370463</v>
      </c>
      <c r="J275" s="14" t="n">
        <v>0.395374221505963</v>
      </c>
      <c r="K275" s="12" t="s">
        <v>86</v>
      </c>
      <c r="L275" s="15" t="n">
        <v>1094</v>
      </c>
      <c r="M275" s="15" t="n">
        <v>26</v>
      </c>
    </row>
    <row r="276" customFormat="false" ht="15" hidden="false" customHeight="false" outlineLevel="0" collapsed="false">
      <c r="A276" s="12" t="s">
        <v>34</v>
      </c>
      <c r="B276" s="7" t="s">
        <v>35</v>
      </c>
      <c r="C276" s="12" t="s">
        <v>92</v>
      </c>
      <c r="D276" s="7" t="s">
        <v>31</v>
      </c>
      <c r="E276" s="7" t="s">
        <v>32</v>
      </c>
      <c r="F276" s="12" t="n">
        <f aca="false">IF(D276=E276,1,0)</f>
        <v>0</v>
      </c>
      <c r="G276" s="13" t="n">
        <v>-0.0522522522522522</v>
      </c>
      <c r="H276" s="14" t="n">
        <v>0.312953235862744</v>
      </c>
      <c r="I276" s="14" t="n">
        <v>0.21665403332128</v>
      </c>
      <c r="J276" s="14" t="n">
        <v>0.470392730815976</v>
      </c>
      <c r="K276" s="12" t="s">
        <v>86</v>
      </c>
      <c r="L276" s="15" t="n">
        <v>1094</v>
      </c>
      <c r="M276" s="15" t="n">
        <v>26</v>
      </c>
    </row>
    <row r="277" customFormat="false" ht="15" hidden="false" customHeight="false" outlineLevel="0" collapsed="false">
      <c r="A277" s="12" t="s">
        <v>36</v>
      </c>
      <c r="B277" s="7" t="s">
        <v>37</v>
      </c>
      <c r="C277" s="12" t="s">
        <v>92</v>
      </c>
      <c r="D277" s="7" t="s">
        <v>31</v>
      </c>
      <c r="E277" s="7" t="s">
        <v>32</v>
      </c>
      <c r="F277" s="12" t="n">
        <f aca="false">IF(D277=E277,1,0)</f>
        <v>0</v>
      </c>
      <c r="G277" s="13" t="n">
        <v>-0.0216919739696311</v>
      </c>
      <c r="H277" s="14" t="n">
        <v>0.311156180542536</v>
      </c>
      <c r="I277" s="14" t="n">
        <v>0.258309171170153</v>
      </c>
      <c r="J277" s="14" t="n">
        <v>0.430534648287312</v>
      </c>
      <c r="K277" s="12" t="s">
        <v>86</v>
      </c>
      <c r="L277" s="15" t="n">
        <v>1094</v>
      </c>
      <c r="M277" s="15" t="n">
        <v>26</v>
      </c>
    </row>
    <row r="278" customFormat="false" ht="15" hidden="false" customHeight="false" outlineLevel="0" collapsed="false">
      <c r="A278" s="12" t="s">
        <v>38</v>
      </c>
      <c r="B278" s="7" t="s">
        <v>39</v>
      </c>
      <c r="C278" s="12" t="s">
        <v>92</v>
      </c>
      <c r="D278" s="7" t="s">
        <v>31</v>
      </c>
      <c r="E278" s="7" t="s">
        <v>32</v>
      </c>
      <c r="F278" s="12" t="n">
        <f aca="false">IF(D278=E278,1,0)</f>
        <v>0</v>
      </c>
      <c r="G278" s="13" t="n">
        <v>-0.0715083798882681</v>
      </c>
      <c r="H278" s="14" t="n">
        <v>0.290233149163013</v>
      </c>
      <c r="I278" s="14" t="n">
        <v>0.225305147746991</v>
      </c>
      <c r="J278" s="14" t="n">
        <v>0.484461703089995</v>
      </c>
      <c r="K278" s="12" t="s">
        <v>86</v>
      </c>
      <c r="L278" s="15" t="n">
        <v>1094</v>
      </c>
      <c r="M278" s="15" t="n">
        <v>26</v>
      </c>
    </row>
    <row r="279" customFormat="false" ht="15" hidden="false" customHeight="false" outlineLevel="0" collapsed="false">
      <c r="A279" s="12" t="s">
        <v>41</v>
      </c>
      <c r="B279" s="7" t="s">
        <v>42</v>
      </c>
      <c r="C279" s="12" t="s">
        <v>92</v>
      </c>
      <c r="D279" s="7" t="s">
        <v>31</v>
      </c>
      <c r="E279" s="7" t="s">
        <v>40</v>
      </c>
      <c r="F279" s="12" t="n">
        <f aca="false">IF(D279=E279,1,0)</f>
        <v>0</v>
      </c>
      <c r="G279" s="13" t="n">
        <v>0.0045045045045044</v>
      </c>
      <c r="H279" s="14" t="n">
        <v>0.289580338101872</v>
      </c>
      <c r="I279" s="14" t="n">
        <v>0.258709763411629</v>
      </c>
      <c r="J279" s="14" t="n">
        <v>0.451709898486499</v>
      </c>
      <c r="K279" s="12" t="s">
        <v>86</v>
      </c>
      <c r="L279" s="15" t="n">
        <v>1094</v>
      </c>
      <c r="M279" s="15" t="n">
        <v>26</v>
      </c>
    </row>
    <row r="280" customFormat="false" ht="15" hidden="false" customHeight="false" outlineLevel="0" collapsed="false">
      <c r="A280" s="12" t="s">
        <v>43</v>
      </c>
      <c r="B280" s="7" t="s">
        <v>44</v>
      </c>
      <c r="C280" s="12" t="s">
        <v>92</v>
      </c>
      <c r="D280" s="7" t="s">
        <v>31</v>
      </c>
      <c r="E280" s="7" t="s">
        <v>32</v>
      </c>
      <c r="F280" s="12" t="n">
        <f aca="false">IF(D280=E280,1,0)</f>
        <v>0</v>
      </c>
      <c r="G280" s="13" t="n">
        <v>-0.0394230769230768</v>
      </c>
      <c r="H280" s="14" t="n">
        <v>0.308775896470268</v>
      </c>
      <c r="I280" s="14" t="n">
        <v>0.337816720531165</v>
      </c>
      <c r="J280" s="14" t="n">
        <v>0.353407382998567</v>
      </c>
      <c r="K280" s="12" t="s">
        <v>86</v>
      </c>
      <c r="L280" s="15" t="n">
        <v>1094</v>
      </c>
      <c r="M280" s="15" t="n">
        <v>26</v>
      </c>
    </row>
    <row r="281" customFormat="false" ht="15" hidden="false" customHeight="false" outlineLevel="0" collapsed="false">
      <c r="A281" s="12" t="s">
        <v>28</v>
      </c>
      <c r="B281" s="7" t="s">
        <v>29</v>
      </c>
      <c r="C281" s="12" t="s">
        <v>93</v>
      </c>
      <c r="D281" s="7" t="s">
        <v>31</v>
      </c>
      <c r="E281" s="7" t="s">
        <v>32</v>
      </c>
      <c r="F281" s="12" t="n">
        <f aca="false">IF(D281=E281,1,0)</f>
        <v>0</v>
      </c>
      <c r="G281" s="13" t="n">
        <v>-0.0181818181818181</v>
      </c>
      <c r="H281" s="14" t="n">
        <v>0.318279805075789</v>
      </c>
      <c r="I281" s="14" t="n">
        <v>0.193448656335071</v>
      </c>
      <c r="J281" s="14" t="n">
        <v>0.488271538589141</v>
      </c>
      <c r="K281" s="12" t="s">
        <v>86</v>
      </c>
      <c r="L281" s="15" t="n">
        <v>1094</v>
      </c>
      <c r="M281" s="15" t="n">
        <v>26</v>
      </c>
    </row>
    <row r="282" customFormat="false" ht="15" hidden="false" customHeight="false" outlineLevel="0" collapsed="false">
      <c r="A282" s="12" t="s">
        <v>34</v>
      </c>
      <c r="B282" s="7" t="s">
        <v>35</v>
      </c>
      <c r="C282" s="12" t="s">
        <v>93</v>
      </c>
      <c r="D282" s="7" t="s">
        <v>31</v>
      </c>
      <c r="E282" s="7" t="s">
        <v>32</v>
      </c>
      <c r="F282" s="12" t="n">
        <f aca="false">IF(D282=E282,1,0)</f>
        <v>0</v>
      </c>
      <c r="G282" s="13" t="n">
        <v>-0.0171102661596957</v>
      </c>
      <c r="H282" s="14" t="n">
        <v>0.313018738905825</v>
      </c>
      <c r="I282" s="14" t="n">
        <v>0.224140869221681</v>
      </c>
      <c r="J282" s="14" t="n">
        <v>0.462840391872494</v>
      </c>
      <c r="K282" s="12" t="s">
        <v>86</v>
      </c>
      <c r="L282" s="15" t="n">
        <v>1094</v>
      </c>
      <c r="M282" s="15" t="n">
        <v>26</v>
      </c>
    </row>
    <row r="283" customFormat="false" ht="15" hidden="false" customHeight="false" outlineLevel="0" collapsed="false">
      <c r="A283" s="12" t="s">
        <v>36</v>
      </c>
      <c r="B283" s="7" t="s">
        <v>37</v>
      </c>
      <c r="C283" s="12" t="s">
        <v>93</v>
      </c>
      <c r="D283" s="7" t="s">
        <v>32</v>
      </c>
      <c r="E283" s="7" t="s">
        <v>40</v>
      </c>
      <c r="F283" s="12" t="n">
        <f aca="false">IF(D283=E283,1,0)</f>
        <v>0</v>
      </c>
      <c r="G283" s="13" t="n">
        <v>-0.0022172949002217</v>
      </c>
      <c r="H283" s="14" t="n">
        <v>0.407237557743521</v>
      </c>
      <c r="I283" s="14" t="n">
        <v>0.246024627676748</v>
      </c>
      <c r="J283" s="14" t="n">
        <v>0.346737814579732</v>
      </c>
      <c r="K283" s="12" t="s">
        <v>86</v>
      </c>
      <c r="L283" s="15" t="n">
        <v>1094</v>
      </c>
      <c r="M283" s="15" t="n">
        <v>26</v>
      </c>
    </row>
    <row r="284" customFormat="false" ht="15" hidden="false" customHeight="false" outlineLevel="0" collapsed="false">
      <c r="A284" s="12" t="s">
        <v>38</v>
      </c>
      <c r="B284" s="7" t="s">
        <v>39</v>
      </c>
      <c r="C284" s="12" t="s">
        <v>93</v>
      </c>
      <c r="D284" s="7" t="s">
        <v>31</v>
      </c>
      <c r="E284" s="7" t="s">
        <v>32</v>
      </c>
      <c r="F284" s="12" t="n">
        <f aca="false">IF(D284=E284,1,0)</f>
        <v>0</v>
      </c>
      <c r="G284" s="13" t="n">
        <v>-0.0168471720818291</v>
      </c>
      <c r="H284" s="14" t="n">
        <v>0.299636813016083</v>
      </c>
      <c r="I284" s="14" t="n">
        <v>0.196824061166279</v>
      </c>
      <c r="J284" s="14" t="n">
        <v>0.503539125817638</v>
      </c>
      <c r="K284" s="12" t="s">
        <v>86</v>
      </c>
      <c r="L284" s="15" t="n">
        <v>1094</v>
      </c>
      <c r="M284" s="15" t="n">
        <v>26</v>
      </c>
    </row>
    <row r="285" customFormat="false" ht="15" hidden="false" customHeight="false" outlineLevel="0" collapsed="false">
      <c r="A285" s="12" t="s">
        <v>41</v>
      </c>
      <c r="B285" s="7" t="s">
        <v>42</v>
      </c>
      <c r="C285" s="12" t="s">
        <v>93</v>
      </c>
      <c r="D285" s="7" t="s">
        <v>31</v>
      </c>
      <c r="E285" s="7" t="s">
        <v>31</v>
      </c>
      <c r="F285" s="12" t="n">
        <f aca="false">IF(D285=E285,1,0)</f>
        <v>1</v>
      </c>
      <c r="G285" s="13" t="n">
        <v>0.0134529147982063</v>
      </c>
      <c r="H285" s="14" t="n">
        <v>0.361855521050025</v>
      </c>
      <c r="I285" s="14" t="n">
        <v>0.252268292634382</v>
      </c>
      <c r="J285" s="14" t="n">
        <v>0.385876186315593</v>
      </c>
      <c r="K285" s="12" t="s">
        <v>86</v>
      </c>
      <c r="L285" s="15" t="n">
        <v>1094</v>
      </c>
      <c r="M285" s="15" t="n">
        <v>26</v>
      </c>
    </row>
    <row r="286" customFormat="false" ht="15" hidden="false" customHeight="false" outlineLevel="0" collapsed="false">
      <c r="A286" s="12" t="s">
        <v>43</v>
      </c>
      <c r="B286" s="7" t="s">
        <v>44</v>
      </c>
      <c r="C286" s="12" t="s">
        <v>93</v>
      </c>
      <c r="D286" s="7" t="s">
        <v>31</v>
      </c>
      <c r="E286" s="7" t="s">
        <v>31</v>
      </c>
      <c r="F286" s="12" t="n">
        <f aca="false">IF(D286=E286,1,0)</f>
        <v>1</v>
      </c>
      <c r="G286" s="13" t="n">
        <v>0.0060060060060058</v>
      </c>
      <c r="H286" s="14" t="n">
        <v>0.318378612548242</v>
      </c>
      <c r="I286" s="14" t="n">
        <v>0.28776024662505</v>
      </c>
      <c r="J286" s="14" t="n">
        <v>0.393861140826708</v>
      </c>
      <c r="K286" s="12" t="s">
        <v>86</v>
      </c>
      <c r="L286" s="15" t="n">
        <v>1094</v>
      </c>
      <c r="M286" s="15" t="n">
        <v>26</v>
      </c>
    </row>
    <row r="287" customFormat="false" ht="15" hidden="false" customHeight="false" outlineLevel="0" collapsed="false">
      <c r="A287" s="12" t="s">
        <v>28</v>
      </c>
      <c r="B287" s="7" t="s">
        <v>29</v>
      </c>
      <c r="C287" s="12" t="s">
        <v>94</v>
      </c>
      <c r="D287" s="7" t="s">
        <v>31</v>
      </c>
      <c r="E287" s="7" t="s">
        <v>31</v>
      </c>
      <c r="F287" s="12" t="n">
        <f aca="false">IF(D287=E287,1,0)</f>
        <v>1</v>
      </c>
      <c r="G287" s="13" t="n">
        <v>0.025462962962963</v>
      </c>
      <c r="H287" s="14" t="n">
        <v>0.368281779602706</v>
      </c>
      <c r="I287" s="14" t="n">
        <v>0.195921464845239</v>
      </c>
      <c r="J287" s="14" t="n">
        <v>0.435796755552056</v>
      </c>
      <c r="K287" s="12" t="s">
        <v>86</v>
      </c>
      <c r="L287" s="15" t="n">
        <v>1094</v>
      </c>
      <c r="M287" s="15" t="n">
        <v>26</v>
      </c>
    </row>
    <row r="288" customFormat="false" ht="15" hidden="false" customHeight="false" outlineLevel="0" collapsed="false">
      <c r="A288" s="12" t="s">
        <v>34</v>
      </c>
      <c r="B288" s="7" t="s">
        <v>35</v>
      </c>
      <c r="C288" s="12" t="s">
        <v>94</v>
      </c>
      <c r="D288" s="7" t="s">
        <v>31</v>
      </c>
      <c r="E288" s="7" t="s">
        <v>31</v>
      </c>
      <c r="F288" s="12" t="n">
        <f aca="false">IF(D288=E288,1,0)</f>
        <v>1</v>
      </c>
      <c r="G288" s="13" t="n">
        <v>0.0077369439071566</v>
      </c>
      <c r="H288" s="14" t="n">
        <v>0.368046877441568</v>
      </c>
      <c r="I288" s="14" t="n">
        <v>0.230364283909013</v>
      </c>
      <c r="J288" s="14" t="n">
        <v>0.401588838649419</v>
      </c>
      <c r="K288" s="12" t="s">
        <v>86</v>
      </c>
      <c r="L288" s="15" t="n">
        <v>1094</v>
      </c>
      <c r="M288" s="15" t="n">
        <v>26</v>
      </c>
    </row>
    <row r="289" customFormat="false" ht="15" hidden="false" customHeight="false" outlineLevel="0" collapsed="false">
      <c r="A289" s="12" t="s">
        <v>36</v>
      </c>
      <c r="B289" s="7" t="s">
        <v>37</v>
      </c>
      <c r="C289" s="12" t="s">
        <v>94</v>
      </c>
      <c r="D289" s="7" t="s">
        <v>32</v>
      </c>
      <c r="E289" s="7" t="s">
        <v>31</v>
      </c>
      <c r="F289" s="12" t="n">
        <f aca="false">IF(D289=E289,1,0)</f>
        <v>0</v>
      </c>
      <c r="G289" s="13" t="n">
        <v>0.0266666666666666</v>
      </c>
      <c r="H289" s="14" t="n">
        <v>0.47743728178359</v>
      </c>
      <c r="I289" s="14" t="n">
        <v>0.213578933126344</v>
      </c>
      <c r="J289" s="14" t="n">
        <v>0.308983785090066</v>
      </c>
      <c r="K289" s="12" t="s">
        <v>86</v>
      </c>
      <c r="L289" s="15" t="n">
        <v>1094</v>
      </c>
      <c r="M289" s="15" t="n">
        <v>26</v>
      </c>
    </row>
    <row r="290" customFormat="false" ht="15" hidden="false" customHeight="false" outlineLevel="0" collapsed="false">
      <c r="A290" s="12" t="s">
        <v>38</v>
      </c>
      <c r="B290" s="7" t="s">
        <v>39</v>
      </c>
      <c r="C290" s="12" t="s">
        <v>94</v>
      </c>
      <c r="D290" s="7" t="s">
        <v>31</v>
      </c>
      <c r="E290" s="7" t="s">
        <v>31</v>
      </c>
      <c r="F290" s="12" t="n">
        <f aca="false">IF(D290=E290,1,0)</f>
        <v>1</v>
      </c>
      <c r="G290" s="13" t="n">
        <v>0.0232558139534884</v>
      </c>
      <c r="H290" s="14" t="n">
        <v>0.333636493188648</v>
      </c>
      <c r="I290" s="14" t="n">
        <v>0.198819404721689</v>
      </c>
      <c r="J290" s="14" t="n">
        <v>0.467544102089663</v>
      </c>
      <c r="K290" s="12" t="s">
        <v>86</v>
      </c>
      <c r="L290" s="15" t="n">
        <v>1094</v>
      </c>
      <c r="M290" s="15" t="n">
        <v>26</v>
      </c>
    </row>
    <row r="291" customFormat="false" ht="15" hidden="false" customHeight="false" outlineLevel="0" collapsed="false">
      <c r="A291" s="12" t="s">
        <v>41</v>
      </c>
      <c r="B291" s="7" t="s">
        <v>42</v>
      </c>
      <c r="C291" s="12" t="s">
        <v>94</v>
      </c>
      <c r="D291" s="7" t="s">
        <v>32</v>
      </c>
      <c r="E291" s="7" t="s">
        <v>31</v>
      </c>
      <c r="F291" s="12" t="n">
        <f aca="false">IF(D291=E291,1,0)</f>
        <v>0</v>
      </c>
      <c r="G291" s="13" t="n">
        <v>0.0088495575221239</v>
      </c>
      <c r="H291" s="14" t="n">
        <v>0.387127684513186</v>
      </c>
      <c r="I291" s="14" t="n">
        <v>0.24912705217056</v>
      </c>
      <c r="J291" s="14" t="n">
        <v>0.363745263316254</v>
      </c>
      <c r="K291" s="12" t="s">
        <v>86</v>
      </c>
      <c r="L291" s="15" t="n">
        <v>1094</v>
      </c>
      <c r="M291" s="15" t="n">
        <v>26</v>
      </c>
    </row>
    <row r="292" customFormat="false" ht="15" hidden="false" customHeight="false" outlineLevel="0" collapsed="false">
      <c r="A292" s="12" t="s">
        <v>43</v>
      </c>
      <c r="B292" s="7" t="s">
        <v>44</v>
      </c>
      <c r="C292" s="12" t="s">
        <v>94</v>
      </c>
      <c r="D292" s="7" t="s">
        <v>31</v>
      </c>
      <c r="E292" s="7" t="s">
        <v>40</v>
      </c>
      <c r="F292" s="12" t="n">
        <f aca="false">IF(D292=E292,1,0)</f>
        <v>0</v>
      </c>
      <c r="G292" s="13" t="n">
        <v>0</v>
      </c>
      <c r="H292" s="14" t="n">
        <v>0.313629616730538</v>
      </c>
      <c r="I292" s="14" t="n">
        <v>0.299614023102882</v>
      </c>
      <c r="J292" s="14" t="n">
        <v>0.38675636016658</v>
      </c>
      <c r="K292" s="12" t="s">
        <v>86</v>
      </c>
      <c r="L292" s="15" t="n">
        <v>1094</v>
      </c>
      <c r="M292" s="15" t="n">
        <v>26</v>
      </c>
    </row>
    <row r="293" customFormat="false" ht="15" hidden="false" customHeight="false" outlineLevel="0" collapsed="false">
      <c r="A293" s="12" t="s">
        <v>28</v>
      </c>
      <c r="B293" s="7" t="s">
        <v>29</v>
      </c>
      <c r="C293" s="12" t="s">
        <v>95</v>
      </c>
      <c r="D293" s="7" t="s">
        <v>31</v>
      </c>
      <c r="E293" s="7" t="s">
        <v>40</v>
      </c>
      <c r="F293" s="12" t="n">
        <f aca="false">IF(D293=E293,1,0)</f>
        <v>0</v>
      </c>
      <c r="G293" s="13" t="n">
        <v>-0.002257336343115</v>
      </c>
      <c r="H293" s="14" t="n">
        <v>0.357153571121584</v>
      </c>
      <c r="I293" s="14" t="n">
        <v>0.19317997994304</v>
      </c>
      <c r="J293" s="14" t="n">
        <v>0.449666448935377</v>
      </c>
      <c r="K293" s="12" t="s">
        <v>86</v>
      </c>
      <c r="L293" s="15" t="n">
        <v>1094</v>
      </c>
      <c r="M293" s="15" t="n">
        <v>26</v>
      </c>
    </row>
    <row r="294" customFormat="false" ht="15" hidden="false" customHeight="false" outlineLevel="0" collapsed="false">
      <c r="A294" s="12" t="s">
        <v>34</v>
      </c>
      <c r="B294" s="7" t="s">
        <v>35</v>
      </c>
      <c r="C294" s="12" t="s">
        <v>95</v>
      </c>
      <c r="D294" s="7" t="s">
        <v>31</v>
      </c>
      <c r="E294" s="7" t="s">
        <v>31</v>
      </c>
      <c r="F294" s="12" t="n">
        <f aca="false">IF(D294=E294,1,0)</f>
        <v>1</v>
      </c>
      <c r="G294" s="13" t="n">
        <v>0.0268714011516315</v>
      </c>
      <c r="H294" s="14" t="n">
        <v>0.312735885023953</v>
      </c>
      <c r="I294" s="14" t="n">
        <v>0.208789056813058</v>
      </c>
      <c r="J294" s="14" t="n">
        <v>0.478475058162989</v>
      </c>
      <c r="K294" s="12" t="s">
        <v>86</v>
      </c>
      <c r="L294" s="15" t="n">
        <v>1094</v>
      </c>
      <c r="M294" s="15" t="n">
        <v>26</v>
      </c>
    </row>
    <row r="295" customFormat="false" ht="15" hidden="false" customHeight="false" outlineLevel="0" collapsed="false">
      <c r="A295" s="12" t="s">
        <v>36</v>
      </c>
      <c r="B295" s="7" t="s">
        <v>37</v>
      </c>
      <c r="C295" s="12" t="s">
        <v>95</v>
      </c>
      <c r="D295" s="7" t="s">
        <v>32</v>
      </c>
      <c r="E295" s="7" t="s">
        <v>31</v>
      </c>
      <c r="F295" s="12" t="n">
        <f aca="false">IF(D295=E295,1,0)</f>
        <v>0</v>
      </c>
      <c r="G295" s="13" t="n">
        <v>0.0281385281385282</v>
      </c>
      <c r="H295" s="14" t="n">
        <v>0.418171171317417</v>
      </c>
      <c r="I295" s="14" t="n">
        <v>0.228069609096226</v>
      </c>
      <c r="J295" s="14" t="n">
        <v>0.353759219586357</v>
      </c>
      <c r="K295" s="12" t="s">
        <v>86</v>
      </c>
      <c r="L295" s="15" t="n">
        <v>1094</v>
      </c>
      <c r="M295" s="15" t="n">
        <v>26</v>
      </c>
    </row>
    <row r="296" customFormat="false" ht="15" hidden="false" customHeight="false" outlineLevel="0" collapsed="false">
      <c r="A296" s="12" t="s">
        <v>38</v>
      </c>
      <c r="B296" s="7" t="s">
        <v>39</v>
      </c>
      <c r="C296" s="12" t="s">
        <v>95</v>
      </c>
      <c r="D296" s="7" t="s">
        <v>31</v>
      </c>
      <c r="E296" s="7" t="s">
        <v>31</v>
      </c>
      <c r="F296" s="12" t="n">
        <f aca="false">IF(D296=E296,1,0)</f>
        <v>1</v>
      </c>
      <c r="G296" s="13" t="n">
        <v>0.0693779904306219</v>
      </c>
      <c r="H296" s="14" t="n">
        <v>0.312460829957115</v>
      </c>
      <c r="I296" s="14" t="n">
        <v>0.197683180885522</v>
      </c>
      <c r="J296" s="14" t="n">
        <v>0.489855989157364</v>
      </c>
      <c r="K296" s="12" t="s">
        <v>86</v>
      </c>
      <c r="L296" s="15" t="n">
        <v>1094</v>
      </c>
      <c r="M296" s="15" t="n">
        <v>26</v>
      </c>
    </row>
    <row r="297" customFormat="false" ht="15" hidden="false" customHeight="false" outlineLevel="0" collapsed="false">
      <c r="A297" s="12" t="s">
        <v>41</v>
      </c>
      <c r="B297" s="7" t="s">
        <v>42</v>
      </c>
      <c r="C297" s="12" t="s">
        <v>95</v>
      </c>
      <c r="D297" s="7" t="s">
        <v>32</v>
      </c>
      <c r="E297" s="7" t="s">
        <v>32</v>
      </c>
      <c r="F297" s="12" t="n">
        <f aca="false">IF(D297=E297,1,0)</f>
        <v>1</v>
      </c>
      <c r="G297" s="13" t="n">
        <v>-0.0153508771929824</v>
      </c>
      <c r="H297" s="14" t="n">
        <v>0.374974414137099</v>
      </c>
      <c r="I297" s="14" t="n">
        <v>0.260249371823109</v>
      </c>
      <c r="J297" s="14" t="n">
        <v>0.364776214039792</v>
      </c>
      <c r="K297" s="12" t="s">
        <v>86</v>
      </c>
      <c r="L297" s="15" t="n">
        <v>1094</v>
      </c>
      <c r="M297" s="15" t="n">
        <v>26</v>
      </c>
    </row>
    <row r="298" customFormat="false" ht="15" hidden="false" customHeight="false" outlineLevel="0" collapsed="false">
      <c r="A298" s="12" t="s">
        <v>43</v>
      </c>
      <c r="B298" s="7" t="s">
        <v>44</v>
      </c>
      <c r="C298" s="12" t="s">
        <v>95</v>
      </c>
      <c r="D298" s="7" t="s">
        <v>31</v>
      </c>
      <c r="E298" s="7" t="s">
        <v>31</v>
      </c>
      <c r="F298" s="12" t="n">
        <f aca="false">IF(D298=E298,1,0)</f>
        <v>1</v>
      </c>
      <c r="G298" s="13" t="n">
        <v>0.0348258706467661</v>
      </c>
      <c r="H298" s="14" t="n">
        <v>0.301451555087371</v>
      </c>
      <c r="I298" s="14" t="n">
        <v>0.287147504664246</v>
      </c>
      <c r="J298" s="14" t="n">
        <v>0.411400940248384</v>
      </c>
      <c r="K298" s="12" t="s">
        <v>86</v>
      </c>
      <c r="L298" s="15" t="n">
        <v>1094</v>
      </c>
      <c r="M298" s="15" t="n">
        <v>26</v>
      </c>
    </row>
    <row r="299" customFormat="false" ht="15" hidden="false" customHeight="false" outlineLevel="0" collapsed="false">
      <c r="A299" s="12" t="s">
        <v>28</v>
      </c>
      <c r="B299" s="7" t="s">
        <v>29</v>
      </c>
      <c r="C299" s="12" t="s">
        <v>96</v>
      </c>
      <c r="D299" s="7" t="s">
        <v>31</v>
      </c>
      <c r="E299" s="7" t="s">
        <v>31</v>
      </c>
      <c r="F299" s="12" t="n">
        <f aca="false">IF(D299=E299,1,0)</f>
        <v>1</v>
      </c>
      <c r="G299" s="13" t="n">
        <v>0.009049773755656</v>
      </c>
      <c r="H299" s="14" t="n">
        <v>0.24830657118226</v>
      </c>
      <c r="I299" s="14" t="n">
        <v>0.175290740352826</v>
      </c>
      <c r="J299" s="14" t="n">
        <v>0.576402688464914</v>
      </c>
      <c r="K299" s="12" t="s">
        <v>86</v>
      </c>
      <c r="L299" s="15" t="n">
        <v>1094</v>
      </c>
      <c r="M299" s="15" t="n">
        <v>26</v>
      </c>
    </row>
    <row r="300" customFormat="false" ht="15" hidden="false" customHeight="false" outlineLevel="0" collapsed="false">
      <c r="A300" s="12" t="s">
        <v>34</v>
      </c>
      <c r="B300" s="7" t="s">
        <v>35</v>
      </c>
      <c r="C300" s="12" t="s">
        <v>96</v>
      </c>
      <c r="D300" s="7" t="s">
        <v>31</v>
      </c>
      <c r="E300" s="7" t="s">
        <v>31</v>
      </c>
      <c r="F300" s="12" t="n">
        <f aca="false">IF(D300=E300,1,0)</f>
        <v>1</v>
      </c>
      <c r="G300" s="13" t="n">
        <v>0.005607476635514</v>
      </c>
      <c r="H300" s="14" t="n">
        <v>0.248979558759246</v>
      </c>
      <c r="I300" s="14" t="n">
        <v>0.248040204977871</v>
      </c>
      <c r="J300" s="14" t="n">
        <v>0.502980236262883</v>
      </c>
      <c r="K300" s="12" t="s">
        <v>86</v>
      </c>
      <c r="L300" s="15" t="n">
        <v>1094</v>
      </c>
      <c r="M300" s="15" t="n">
        <v>26</v>
      </c>
    </row>
    <row r="301" customFormat="false" ht="15" hidden="false" customHeight="false" outlineLevel="0" collapsed="false">
      <c r="A301" s="12" t="s">
        <v>36</v>
      </c>
      <c r="B301" s="7" t="s">
        <v>37</v>
      </c>
      <c r="C301" s="12" t="s">
        <v>96</v>
      </c>
      <c r="D301" s="7" t="s">
        <v>31</v>
      </c>
      <c r="E301" s="7" t="s">
        <v>31</v>
      </c>
      <c r="F301" s="12" t="n">
        <f aca="false">IF(D301=E301,1,0)</f>
        <v>1</v>
      </c>
      <c r="G301" s="13" t="n">
        <v>0.0105263157894737</v>
      </c>
      <c r="H301" s="14" t="n">
        <v>0.312435917921244</v>
      </c>
      <c r="I301" s="14" t="n">
        <v>0.337896300730248</v>
      </c>
      <c r="J301" s="14" t="n">
        <v>0.349667781348508</v>
      </c>
      <c r="K301" s="12" t="s">
        <v>86</v>
      </c>
      <c r="L301" s="15" t="n">
        <v>1094</v>
      </c>
      <c r="M301" s="15" t="n">
        <v>26</v>
      </c>
    </row>
    <row r="302" customFormat="false" ht="15" hidden="false" customHeight="false" outlineLevel="0" collapsed="false">
      <c r="A302" s="12" t="s">
        <v>38</v>
      </c>
      <c r="B302" s="7" t="s">
        <v>39</v>
      </c>
      <c r="C302" s="12" t="s">
        <v>96</v>
      </c>
      <c r="D302" s="7" t="s">
        <v>31</v>
      </c>
      <c r="E302" s="7" t="s">
        <v>31</v>
      </c>
      <c r="F302" s="12" t="n">
        <f aca="false">IF(D302=E302,1,0)</f>
        <v>1</v>
      </c>
      <c r="G302" s="13" t="n">
        <v>0.0201342281879195</v>
      </c>
      <c r="H302" s="14" t="n">
        <v>0.265455541919745</v>
      </c>
      <c r="I302" s="14" t="n">
        <v>0.272182746090831</v>
      </c>
      <c r="J302" s="14" t="n">
        <v>0.462361711989424</v>
      </c>
      <c r="K302" s="12" t="s">
        <v>86</v>
      </c>
      <c r="L302" s="15" t="n">
        <v>1094</v>
      </c>
      <c r="M302" s="15" t="n">
        <v>26</v>
      </c>
    </row>
    <row r="303" customFormat="false" ht="15" hidden="false" customHeight="false" outlineLevel="0" collapsed="false">
      <c r="A303" s="12" t="s">
        <v>41</v>
      </c>
      <c r="B303" s="7" t="s">
        <v>42</v>
      </c>
      <c r="C303" s="12" t="s">
        <v>96</v>
      </c>
      <c r="D303" s="7" t="s">
        <v>31</v>
      </c>
      <c r="E303" s="7" t="s">
        <v>32</v>
      </c>
      <c r="F303" s="12" t="n">
        <f aca="false">IF(D303=E303,1,0)</f>
        <v>0</v>
      </c>
      <c r="G303" s="13" t="n">
        <v>-0.0178173719376392</v>
      </c>
      <c r="H303" s="14" t="n">
        <v>0.300856958248432</v>
      </c>
      <c r="I303" s="14" t="n">
        <v>0.295056862858113</v>
      </c>
      <c r="J303" s="14" t="n">
        <v>0.404086178893455</v>
      </c>
      <c r="K303" s="12" t="s">
        <v>86</v>
      </c>
      <c r="L303" s="15" t="n">
        <v>1094</v>
      </c>
      <c r="M303" s="15" t="n">
        <v>26</v>
      </c>
    </row>
    <row r="304" customFormat="false" ht="15" hidden="false" customHeight="false" outlineLevel="0" collapsed="false">
      <c r="A304" s="12" t="s">
        <v>43</v>
      </c>
      <c r="B304" s="7" t="s">
        <v>44</v>
      </c>
      <c r="C304" s="12" t="s">
        <v>96</v>
      </c>
      <c r="D304" s="7" t="s">
        <v>31</v>
      </c>
      <c r="E304" s="7" t="s">
        <v>31</v>
      </c>
      <c r="F304" s="12" t="n">
        <f aca="false">IF(D304=E304,1,0)</f>
        <v>1</v>
      </c>
      <c r="G304" s="13" t="n">
        <v>0.0528846153846154</v>
      </c>
      <c r="H304" s="14" t="n">
        <v>0.221668767032679</v>
      </c>
      <c r="I304" s="14" t="n">
        <v>0.332683847288262</v>
      </c>
      <c r="J304" s="14" t="n">
        <v>0.445647385679059</v>
      </c>
      <c r="K304" s="12" t="s">
        <v>86</v>
      </c>
      <c r="L304" s="15" t="n">
        <v>1094</v>
      </c>
      <c r="M304" s="15" t="n">
        <v>26</v>
      </c>
    </row>
    <row r="305" customFormat="false" ht="15" hidden="false" customHeight="false" outlineLevel="0" collapsed="false">
      <c r="A305" s="12" t="s">
        <v>28</v>
      </c>
      <c r="B305" s="7" t="s">
        <v>29</v>
      </c>
      <c r="C305" s="12" t="s">
        <v>97</v>
      </c>
      <c r="D305" s="7" t="s">
        <v>31</v>
      </c>
      <c r="E305" s="7" t="s">
        <v>32</v>
      </c>
      <c r="F305" s="12" t="n">
        <f aca="false">IF(D305=E305,1,0)</f>
        <v>0</v>
      </c>
      <c r="G305" s="13" t="n">
        <v>-0.0336322869955156</v>
      </c>
      <c r="H305" s="14" t="n">
        <v>0.261939724218351</v>
      </c>
      <c r="I305" s="14" t="n">
        <v>0.211558297376439</v>
      </c>
      <c r="J305" s="14" t="n">
        <v>0.52650197840521</v>
      </c>
      <c r="K305" s="12" t="s">
        <v>86</v>
      </c>
      <c r="L305" s="15" t="n">
        <v>1094</v>
      </c>
      <c r="M305" s="15" t="n">
        <v>26</v>
      </c>
    </row>
    <row r="306" customFormat="false" ht="15" hidden="false" customHeight="false" outlineLevel="0" collapsed="false">
      <c r="A306" s="12" t="s">
        <v>34</v>
      </c>
      <c r="B306" s="7" t="s">
        <v>35</v>
      </c>
      <c r="C306" s="12" t="s">
        <v>97</v>
      </c>
      <c r="D306" s="7" t="s">
        <v>31</v>
      </c>
      <c r="E306" s="7" t="s">
        <v>31</v>
      </c>
      <c r="F306" s="12" t="n">
        <f aca="false">IF(D306=E306,1,0)</f>
        <v>1</v>
      </c>
      <c r="G306" s="13" t="n">
        <v>0.0111524163568772</v>
      </c>
      <c r="H306" s="14" t="n">
        <v>0.277045390972024</v>
      </c>
      <c r="I306" s="14" t="n">
        <v>0.266243068835848</v>
      </c>
      <c r="J306" s="14" t="n">
        <v>0.456711540192128</v>
      </c>
      <c r="K306" s="12" t="s">
        <v>86</v>
      </c>
      <c r="L306" s="15" t="n">
        <v>1094</v>
      </c>
      <c r="M306" s="15" t="n">
        <v>26</v>
      </c>
    </row>
    <row r="307" customFormat="false" ht="15" hidden="false" customHeight="false" outlineLevel="0" collapsed="false">
      <c r="A307" s="12" t="s">
        <v>36</v>
      </c>
      <c r="B307" s="7" t="s">
        <v>37</v>
      </c>
      <c r="C307" s="12" t="s">
        <v>97</v>
      </c>
      <c r="D307" s="7" t="s">
        <v>40</v>
      </c>
      <c r="E307" s="7" t="s">
        <v>32</v>
      </c>
      <c r="F307" s="12" t="n">
        <f aca="false">IF(D307=E307,1,0)</f>
        <v>0</v>
      </c>
      <c r="G307" s="13" t="n">
        <v>-0.0062499999999999</v>
      </c>
      <c r="H307" s="14" t="n">
        <v>0.334708138404102</v>
      </c>
      <c r="I307" s="14" t="n">
        <v>0.387735375610983</v>
      </c>
      <c r="J307" s="14" t="n">
        <v>0.277556485984916</v>
      </c>
      <c r="K307" s="12" t="s">
        <v>86</v>
      </c>
      <c r="L307" s="15" t="n">
        <v>1094</v>
      </c>
      <c r="M307" s="15" t="n">
        <v>26</v>
      </c>
    </row>
    <row r="308" customFormat="false" ht="15" hidden="false" customHeight="false" outlineLevel="0" collapsed="false">
      <c r="A308" s="12" t="s">
        <v>38</v>
      </c>
      <c r="B308" s="7" t="s">
        <v>39</v>
      </c>
      <c r="C308" s="12" t="s">
        <v>97</v>
      </c>
      <c r="D308" s="7" t="s">
        <v>31</v>
      </c>
      <c r="E308" s="7" t="s">
        <v>32</v>
      </c>
      <c r="F308" s="12" t="n">
        <f aca="false">IF(D308=E308,1,0)</f>
        <v>0</v>
      </c>
      <c r="G308" s="13" t="n">
        <v>-0.0219298245614034</v>
      </c>
      <c r="H308" s="14" t="n">
        <v>0.289880894210253</v>
      </c>
      <c r="I308" s="14" t="n">
        <v>0.287823203049606</v>
      </c>
      <c r="J308" s="14" t="n">
        <v>0.42229590274014</v>
      </c>
      <c r="K308" s="12" t="s">
        <v>86</v>
      </c>
      <c r="L308" s="15" t="n">
        <v>1094</v>
      </c>
      <c r="M308" s="15" t="n">
        <v>26</v>
      </c>
    </row>
    <row r="309" customFormat="false" ht="15" hidden="false" customHeight="false" outlineLevel="0" collapsed="false">
      <c r="A309" s="12" t="s">
        <v>41</v>
      </c>
      <c r="B309" s="7" t="s">
        <v>42</v>
      </c>
      <c r="C309" s="12" t="s">
        <v>97</v>
      </c>
      <c r="D309" s="7" t="s">
        <v>32</v>
      </c>
      <c r="E309" s="7" t="s">
        <v>32</v>
      </c>
      <c r="F309" s="12" t="n">
        <f aca="false">IF(D309=E309,1,0)</f>
        <v>1</v>
      </c>
      <c r="G309" s="13" t="n">
        <v>-0.120181405895692</v>
      </c>
      <c r="H309" s="14" t="n">
        <v>0.411042444238033</v>
      </c>
      <c r="I309" s="14" t="n">
        <v>0.323484509498543</v>
      </c>
      <c r="J309" s="14" t="n">
        <v>0.265473046263424</v>
      </c>
      <c r="K309" s="12" t="s">
        <v>86</v>
      </c>
      <c r="L309" s="15" t="n">
        <v>1094</v>
      </c>
      <c r="M309" s="15" t="n">
        <v>26</v>
      </c>
    </row>
    <row r="310" customFormat="false" ht="15" hidden="false" customHeight="false" outlineLevel="0" collapsed="false">
      <c r="A310" s="12" t="s">
        <v>43</v>
      </c>
      <c r="B310" s="7" t="s">
        <v>44</v>
      </c>
      <c r="C310" s="12" t="s">
        <v>97</v>
      </c>
      <c r="D310" s="7" t="s">
        <v>31</v>
      </c>
      <c r="E310" s="7" t="s">
        <v>31</v>
      </c>
      <c r="F310" s="12" t="n">
        <f aca="false">IF(D310=E310,1,0)</f>
        <v>1</v>
      </c>
      <c r="G310" s="13" t="n">
        <v>0.0365296803652968</v>
      </c>
      <c r="H310" s="14" t="n">
        <v>0.325499538814398</v>
      </c>
      <c r="I310" s="14" t="n">
        <v>0.31417334918039</v>
      </c>
      <c r="J310" s="14" t="n">
        <v>0.360327112005211</v>
      </c>
      <c r="K310" s="12" t="s">
        <v>86</v>
      </c>
      <c r="L310" s="15" t="n">
        <v>1094</v>
      </c>
      <c r="M310" s="15" t="n">
        <v>26</v>
      </c>
    </row>
    <row r="311" customFormat="false" ht="15" hidden="false" customHeight="false" outlineLevel="0" collapsed="false">
      <c r="A311" s="12" t="s">
        <v>28</v>
      </c>
      <c r="B311" s="7" t="s">
        <v>29</v>
      </c>
      <c r="C311" s="12" t="s">
        <v>98</v>
      </c>
      <c r="D311" s="7" t="s">
        <v>32</v>
      </c>
      <c r="E311" s="7" t="s">
        <v>40</v>
      </c>
      <c r="F311" s="12" t="n">
        <f aca="false">IF(D311=E311,1,0)</f>
        <v>0</v>
      </c>
      <c r="G311" s="13" t="n">
        <v>-0.0023201856148491</v>
      </c>
      <c r="H311" s="14" t="n">
        <v>0.368079446865912</v>
      </c>
      <c r="I311" s="14" t="n">
        <v>0.27023782687742</v>
      </c>
      <c r="J311" s="14" t="n">
        <v>0.361682726256668</v>
      </c>
      <c r="K311" s="12" t="s">
        <v>86</v>
      </c>
      <c r="L311" s="15" t="n">
        <v>1094</v>
      </c>
      <c r="M311" s="15" t="n">
        <v>26</v>
      </c>
    </row>
    <row r="312" customFormat="false" ht="15" hidden="false" customHeight="false" outlineLevel="0" collapsed="false">
      <c r="A312" s="12" t="s">
        <v>34</v>
      </c>
      <c r="B312" s="7" t="s">
        <v>35</v>
      </c>
      <c r="C312" s="12" t="s">
        <v>98</v>
      </c>
      <c r="D312" s="7" t="s">
        <v>32</v>
      </c>
      <c r="E312" s="7" t="s">
        <v>32</v>
      </c>
      <c r="F312" s="12" t="n">
        <f aca="false">IF(D312=E312,1,0)</f>
        <v>1</v>
      </c>
      <c r="G312" s="13" t="n">
        <v>-0.0128676470588234</v>
      </c>
      <c r="H312" s="14" t="n">
        <v>0.399976531677057</v>
      </c>
      <c r="I312" s="14" t="n">
        <v>0.295492993493266</v>
      </c>
      <c r="J312" s="14" t="n">
        <v>0.304530474829677</v>
      </c>
      <c r="K312" s="12" t="s">
        <v>86</v>
      </c>
      <c r="L312" s="15" t="n">
        <v>1094</v>
      </c>
      <c r="M312" s="15" t="n">
        <v>26</v>
      </c>
    </row>
    <row r="313" customFormat="false" ht="15" hidden="false" customHeight="false" outlineLevel="0" collapsed="false">
      <c r="A313" s="12" t="s">
        <v>36</v>
      </c>
      <c r="B313" s="7" t="s">
        <v>37</v>
      </c>
      <c r="C313" s="12" t="s">
        <v>98</v>
      </c>
      <c r="D313" s="7" t="s">
        <v>32</v>
      </c>
      <c r="E313" s="7" t="s">
        <v>31</v>
      </c>
      <c r="F313" s="12" t="n">
        <f aca="false">IF(D313=E313,1,0)</f>
        <v>0</v>
      </c>
      <c r="G313" s="13" t="n">
        <v>0.0104821802935011</v>
      </c>
      <c r="H313" s="14" t="n">
        <v>0.412123962521125</v>
      </c>
      <c r="I313" s="14" t="n">
        <v>0.310660830370195</v>
      </c>
      <c r="J313" s="14" t="n">
        <v>0.277215207108681</v>
      </c>
      <c r="K313" s="12" t="s">
        <v>86</v>
      </c>
      <c r="L313" s="15" t="n">
        <v>1094</v>
      </c>
      <c r="M313" s="15" t="n">
        <v>26</v>
      </c>
    </row>
    <row r="314" customFormat="false" ht="15" hidden="false" customHeight="false" outlineLevel="0" collapsed="false">
      <c r="A314" s="12" t="s">
        <v>38</v>
      </c>
      <c r="B314" s="7" t="s">
        <v>39</v>
      </c>
      <c r="C314" s="12" t="s">
        <v>98</v>
      </c>
      <c r="D314" s="7" t="s">
        <v>32</v>
      </c>
      <c r="E314" s="7" t="s">
        <v>32</v>
      </c>
      <c r="F314" s="12" t="n">
        <f aca="false">IF(D314=E314,1,0)</f>
        <v>1</v>
      </c>
      <c r="G314" s="13" t="n">
        <v>-0.015695067264574</v>
      </c>
      <c r="H314" s="14" t="n">
        <v>0.374519189457296</v>
      </c>
      <c r="I314" s="14" t="n">
        <v>0.261422836752057</v>
      </c>
      <c r="J314" s="14" t="n">
        <v>0.364057973790647</v>
      </c>
      <c r="K314" s="12" t="s">
        <v>86</v>
      </c>
      <c r="L314" s="15" t="n">
        <v>1094</v>
      </c>
      <c r="M314" s="15" t="n">
        <v>26</v>
      </c>
    </row>
    <row r="315" customFormat="false" ht="15" hidden="false" customHeight="false" outlineLevel="0" collapsed="false">
      <c r="A315" s="12" t="s">
        <v>41</v>
      </c>
      <c r="B315" s="7" t="s">
        <v>42</v>
      </c>
      <c r="C315" s="12" t="s">
        <v>98</v>
      </c>
      <c r="D315" s="7" t="s">
        <v>31</v>
      </c>
      <c r="E315" s="7" t="s">
        <v>32</v>
      </c>
      <c r="F315" s="12" t="n">
        <f aca="false">IF(D315=E315,1,0)</f>
        <v>0</v>
      </c>
      <c r="G315" s="13" t="n">
        <v>-0.0051546391752577</v>
      </c>
      <c r="H315" s="14" t="n">
        <v>0.358461798730388</v>
      </c>
      <c r="I315" s="14" t="n">
        <v>0.256118958183947</v>
      </c>
      <c r="J315" s="14" t="n">
        <v>0.385419243085665</v>
      </c>
      <c r="K315" s="12" t="s">
        <v>86</v>
      </c>
      <c r="L315" s="15" t="n">
        <v>1094</v>
      </c>
      <c r="M315" s="15" t="n">
        <v>26</v>
      </c>
    </row>
    <row r="316" customFormat="false" ht="15" hidden="false" customHeight="false" outlineLevel="0" collapsed="false">
      <c r="A316" s="12" t="s">
        <v>43</v>
      </c>
      <c r="B316" s="7" t="s">
        <v>44</v>
      </c>
      <c r="C316" s="12" t="s">
        <v>98</v>
      </c>
      <c r="D316" s="7" t="s">
        <v>32</v>
      </c>
      <c r="E316" s="7" t="s">
        <v>31</v>
      </c>
      <c r="F316" s="12" t="n">
        <f aca="false">IF(D316=E316,1,0)</f>
        <v>0</v>
      </c>
      <c r="G316" s="13" t="n">
        <v>0.0176211453744492</v>
      </c>
      <c r="H316" s="14" t="n">
        <v>0.363260920764364</v>
      </c>
      <c r="I316" s="14" t="n">
        <v>0.337675904698189</v>
      </c>
      <c r="J316" s="14" t="n">
        <v>0.299063174537447</v>
      </c>
      <c r="K316" s="12" t="s">
        <v>86</v>
      </c>
      <c r="L316" s="15" t="n">
        <v>1094</v>
      </c>
      <c r="M316" s="15" t="n">
        <v>26</v>
      </c>
    </row>
    <row r="317" customFormat="false" ht="15" hidden="false" customHeight="false" outlineLevel="0" collapsed="false">
      <c r="A317" s="12" t="s">
        <v>28</v>
      </c>
      <c r="B317" s="7" t="s">
        <v>29</v>
      </c>
      <c r="C317" s="12" t="s">
        <v>99</v>
      </c>
      <c r="D317" s="7" t="s">
        <v>32</v>
      </c>
      <c r="E317" s="7" t="s">
        <v>40</v>
      </c>
      <c r="F317" s="12" t="n">
        <f aca="false">IF(D317=E317,1,0)</f>
        <v>0</v>
      </c>
      <c r="G317" s="13" t="n">
        <v>0</v>
      </c>
      <c r="H317" s="14" t="n">
        <v>0.378969770882664</v>
      </c>
      <c r="I317" s="14" t="n">
        <v>0.271061343231234</v>
      </c>
      <c r="J317" s="14" t="n">
        <v>0.349968885886102</v>
      </c>
      <c r="K317" s="12" t="s">
        <v>86</v>
      </c>
      <c r="L317" s="15" t="n">
        <v>1094</v>
      </c>
      <c r="M317" s="15" t="n">
        <v>26</v>
      </c>
    </row>
    <row r="318" customFormat="false" ht="15" hidden="false" customHeight="false" outlineLevel="0" collapsed="false">
      <c r="A318" s="12" t="s">
        <v>34</v>
      </c>
      <c r="B318" s="7" t="s">
        <v>35</v>
      </c>
      <c r="C318" s="12" t="s">
        <v>99</v>
      </c>
      <c r="D318" s="7" t="s">
        <v>32</v>
      </c>
      <c r="E318" s="7" t="s">
        <v>40</v>
      </c>
      <c r="F318" s="12" t="n">
        <f aca="false">IF(D318=E318,1,0)</f>
        <v>0</v>
      </c>
      <c r="G318" s="13" t="n">
        <v>0</v>
      </c>
      <c r="H318" s="14" t="n">
        <v>0.408473347499069</v>
      </c>
      <c r="I318" s="14" t="n">
        <v>0.282658884383625</v>
      </c>
      <c r="J318" s="14" t="n">
        <v>0.308867768117306</v>
      </c>
      <c r="K318" s="12" t="s">
        <v>86</v>
      </c>
      <c r="L318" s="15" t="n">
        <v>1094</v>
      </c>
      <c r="M318" s="15" t="n">
        <v>26</v>
      </c>
    </row>
    <row r="319" customFormat="false" ht="15" hidden="false" customHeight="false" outlineLevel="0" collapsed="false">
      <c r="A319" s="12" t="s">
        <v>36</v>
      </c>
      <c r="B319" s="7" t="s">
        <v>37</v>
      </c>
      <c r="C319" s="12" t="s">
        <v>99</v>
      </c>
      <c r="D319" s="7" t="s">
        <v>31</v>
      </c>
      <c r="E319" s="7" t="s">
        <v>31</v>
      </c>
      <c r="F319" s="12" t="n">
        <f aca="false">IF(D319=E319,1,0)</f>
        <v>1</v>
      </c>
      <c r="G319" s="13" t="n">
        <v>0.04149377593361</v>
      </c>
      <c r="H319" s="14" t="n">
        <v>0.363704426113634</v>
      </c>
      <c r="I319" s="14" t="n">
        <v>0.268267970165583</v>
      </c>
      <c r="J319" s="14" t="n">
        <v>0.368027603720783</v>
      </c>
      <c r="K319" s="12" t="s">
        <v>86</v>
      </c>
      <c r="L319" s="15" t="n">
        <v>1094</v>
      </c>
      <c r="M319" s="15" t="n">
        <v>26</v>
      </c>
    </row>
    <row r="320" customFormat="false" ht="15" hidden="false" customHeight="false" outlineLevel="0" collapsed="false">
      <c r="A320" s="12" t="s">
        <v>38</v>
      </c>
      <c r="B320" s="7" t="s">
        <v>39</v>
      </c>
      <c r="C320" s="12" t="s">
        <v>99</v>
      </c>
      <c r="D320" s="7" t="s">
        <v>31</v>
      </c>
      <c r="E320" s="7" t="s">
        <v>31</v>
      </c>
      <c r="F320" s="12" t="n">
        <f aca="false">IF(D320=E320,1,0)</f>
        <v>1</v>
      </c>
      <c r="G320" s="13" t="n">
        <v>0.0170842824601367</v>
      </c>
      <c r="H320" s="14" t="n">
        <v>0.336727226929754</v>
      </c>
      <c r="I320" s="14" t="n">
        <v>0.242785623929334</v>
      </c>
      <c r="J320" s="14" t="n">
        <v>0.420487149140912</v>
      </c>
      <c r="K320" s="12" t="s">
        <v>86</v>
      </c>
      <c r="L320" s="15" t="n">
        <v>1094</v>
      </c>
      <c r="M320" s="15" t="n">
        <v>26</v>
      </c>
    </row>
    <row r="321" customFormat="false" ht="15" hidden="false" customHeight="false" outlineLevel="0" collapsed="false">
      <c r="A321" s="12" t="s">
        <v>41</v>
      </c>
      <c r="B321" s="7" t="s">
        <v>42</v>
      </c>
      <c r="C321" s="12" t="s">
        <v>99</v>
      </c>
      <c r="D321" s="7" t="s">
        <v>40</v>
      </c>
      <c r="E321" s="7" t="s">
        <v>40</v>
      </c>
      <c r="F321" s="12" t="n">
        <f aca="false">IF(D321=E321,1,0)</f>
        <v>1</v>
      </c>
      <c r="G321" s="13" t="n">
        <v>0</v>
      </c>
      <c r="H321" s="14" t="n">
        <v>0.283947622195572</v>
      </c>
      <c r="I321" s="14" t="n">
        <v>0.360424936254763</v>
      </c>
      <c r="J321" s="14" t="n">
        <v>0.355627441549665</v>
      </c>
      <c r="K321" s="12" t="s">
        <v>86</v>
      </c>
      <c r="L321" s="15" t="n">
        <v>1094</v>
      </c>
      <c r="M321" s="15" t="n">
        <v>26</v>
      </c>
    </row>
    <row r="322" customFormat="false" ht="15" hidden="false" customHeight="false" outlineLevel="0" collapsed="false">
      <c r="A322" s="12" t="s">
        <v>43</v>
      </c>
      <c r="B322" s="7" t="s">
        <v>44</v>
      </c>
      <c r="C322" s="12" t="s">
        <v>99</v>
      </c>
      <c r="D322" s="7" t="s">
        <v>32</v>
      </c>
      <c r="E322" s="7" t="s">
        <v>32</v>
      </c>
      <c r="F322" s="12" t="n">
        <f aca="false">IF(D322=E322,1,0)</f>
        <v>1</v>
      </c>
      <c r="G322" s="13" t="n">
        <v>-0.0216450216450216</v>
      </c>
      <c r="H322" s="14" t="n">
        <v>0.334124335871554</v>
      </c>
      <c r="I322" s="14" t="n">
        <v>0.333316643185543</v>
      </c>
      <c r="J322" s="14" t="n">
        <v>0.332559020942903</v>
      </c>
      <c r="K322" s="12" t="s">
        <v>86</v>
      </c>
      <c r="L322" s="15" t="n">
        <v>1094</v>
      </c>
      <c r="M322" s="15" t="n">
        <v>26</v>
      </c>
    </row>
    <row r="323" customFormat="false" ht="15" hidden="false" customHeight="false" outlineLevel="0" collapsed="false">
      <c r="A323" s="12" t="s">
        <v>28</v>
      </c>
      <c r="B323" s="7" t="s">
        <v>29</v>
      </c>
      <c r="C323" s="12" t="s">
        <v>100</v>
      </c>
      <c r="D323" s="7" t="s">
        <v>31</v>
      </c>
      <c r="E323" s="7" t="s">
        <v>32</v>
      </c>
      <c r="F323" s="12" t="n">
        <f aca="false">IF(D323=E323,1,0)</f>
        <v>0</v>
      </c>
      <c r="G323" s="13" t="n">
        <v>-0.0325581395348837</v>
      </c>
      <c r="H323" s="14" t="n">
        <v>0.327733098558016</v>
      </c>
      <c r="I323" s="14" t="n">
        <v>0.236462677178757</v>
      </c>
      <c r="J323" s="14" t="n">
        <v>0.435804224263228</v>
      </c>
      <c r="K323" s="12" t="s">
        <v>86</v>
      </c>
      <c r="L323" s="15" t="n">
        <v>1094</v>
      </c>
      <c r="M323" s="15" t="n">
        <v>26</v>
      </c>
    </row>
    <row r="324" customFormat="false" ht="15" hidden="false" customHeight="false" outlineLevel="0" collapsed="false">
      <c r="A324" s="12" t="s">
        <v>34</v>
      </c>
      <c r="B324" s="7" t="s">
        <v>35</v>
      </c>
      <c r="C324" s="12" t="s">
        <v>100</v>
      </c>
      <c r="D324" s="7" t="s">
        <v>31</v>
      </c>
      <c r="E324" s="7" t="s">
        <v>32</v>
      </c>
      <c r="F324" s="12" t="n">
        <f aca="false">IF(D324=E324,1,0)</f>
        <v>0</v>
      </c>
      <c r="G324" s="13" t="n">
        <v>-0.0335195530726256</v>
      </c>
      <c r="H324" s="14" t="n">
        <v>0.298853906086731</v>
      </c>
      <c r="I324" s="14" t="n">
        <v>0.326048037283438</v>
      </c>
      <c r="J324" s="14" t="n">
        <v>0.375098056629832</v>
      </c>
      <c r="K324" s="12" t="s">
        <v>86</v>
      </c>
      <c r="L324" s="15" t="n">
        <v>1094</v>
      </c>
      <c r="M324" s="15" t="n">
        <v>26</v>
      </c>
    </row>
    <row r="325" customFormat="false" ht="15" hidden="false" customHeight="false" outlineLevel="0" collapsed="false">
      <c r="A325" s="12" t="s">
        <v>36</v>
      </c>
      <c r="B325" s="7" t="s">
        <v>37</v>
      </c>
      <c r="C325" s="12" t="s">
        <v>100</v>
      </c>
      <c r="D325" s="7" t="s">
        <v>40</v>
      </c>
      <c r="E325" s="7" t="s">
        <v>32</v>
      </c>
      <c r="F325" s="12" t="n">
        <f aca="false">IF(D325=E325,1,0)</f>
        <v>0</v>
      </c>
      <c r="G325" s="13" t="n">
        <v>-0.0079681274900398</v>
      </c>
      <c r="H325" s="14" t="n">
        <v>0.320149177941176</v>
      </c>
      <c r="I325" s="14" t="n">
        <v>0.347060177930728</v>
      </c>
      <c r="J325" s="14" t="n">
        <v>0.332790644128096</v>
      </c>
      <c r="K325" s="12" t="s">
        <v>86</v>
      </c>
      <c r="L325" s="15" t="n">
        <v>1094</v>
      </c>
      <c r="M325" s="15" t="n">
        <v>26</v>
      </c>
    </row>
    <row r="326" customFormat="false" ht="15" hidden="false" customHeight="false" outlineLevel="0" collapsed="false">
      <c r="A326" s="12" t="s">
        <v>38</v>
      </c>
      <c r="B326" s="7" t="s">
        <v>39</v>
      </c>
      <c r="C326" s="12" t="s">
        <v>100</v>
      </c>
      <c r="D326" s="7" t="s">
        <v>31</v>
      </c>
      <c r="E326" s="7" t="s">
        <v>31</v>
      </c>
      <c r="F326" s="12" t="n">
        <f aca="false">IF(D326=E326,1,0)</f>
        <v>1</v>
      </c>
      <c r="G326" s="13" t="n">
        <v>0.0156774916013437</v>
      </c>
      <c r="H326" s="14" t="n">
        <v>0.294601039960286</v>
      </c>
      <c r="I326" s="14" t="n">
        <v>0.318975511949128</v>
      </c>
      <c r="J326" s="14" t="n">
        <v>0.386423448090586</v>
      </c>
      <c r="K326" s="12" t="s">
        <v>86</v>
      </c>
      <c r="L326" s="15" t="n">
        <v>1094</v>
      </c>
      <c r="M326" s="15" t="n">
        <v>26</v>
      </c>
    </row>
    <row r="327" customFormat="false" ht="15" hidden="false" customHeight="false" outlineLevel="0" collapsed="false">
      <c r="A327" s="12" t="s">
        <v>41</v>
      </c>
      <c r="B327" s="7" t="s">
        <v>42</v>
      </c>
      <c r="C327" s="12" t="s">
        <v>100</v>
      </c>
      <c r="D327" s="7" t="s">
        <v>31</v>
      </c>
      <c r="E327" s="7" t="s">
        <v>32</v>
      </c>
      <c r="F327" s="12" t="n">
        <f aca="false">IF(D327=E327,1,0)</f>
        <v>0</v>
      </c>
      <c r="G327" s="13" t="n">
        <v>-0.0207253886010362</v>
      </c>
      <c r="H327" s="14" t="n">
        <v>0.219734127766568</v>
      </c>
      <c r="I327" s="14" t="n">
        <v>0.357140108802059</v>
      </c>
      <c r="J327" s="14" t="n">
        <v>0.423125763431373</v>
      </c>
      <c r="K327" s="12" t="s">
        <v>86</v>
      </c>
      <c r="L327" s="15" t="n">
        <v>1094</v>
      </c>
      <c r="M327" s="15" t="n">
        <v>26</v>
      </c>
    </row>
    <row r="328" customFormat="false" ht="15" hidden="false" customHeight="false" outlineLevel="0" collapsed="false">
      <c r="A328" s="12" t="s">
        <v>43</v>
      </c>
      <c r="B328" s="7" t="s">
        <v>44</v>
      </c>
      <c r="C328" s="12" t="s">
        <v>100</v>
      </c>
      <c r="D328" s="7" t="s">
        <v>31</v>
      </c>
      <c r="E328" s="7" t="s">
        <v>40</v>
      </c>
      <c r="F328" s="12" t="n">
        <f aca="false">IF(D328=E328,1,0)</f>
        <v>0</v>
      </c>
      <c r="G328" s="13" t="n">
        <v>0.0044247787610618</v>
      </c>
      <c r="H328" s="14" t="n">
        <v>0.284301230341381</v>
      </c>
      <c r="I328" s="14" t="n">
        <v>0.308957081941822</v>
      </c>
      <c r="J328" s="14" t="n">
        <v>0.406741687716798</v>
      </c>
      <c r="K328" s="12" t="s">
        <v>86</v>
      </c>
      <c r="L328" s="15" t="n">
        <v>1094</v>
      </c>
      <c r="M328" s="15" t="n">
        <v>26</v>
      </c>
    </row>
    <row r="329" customFormat="false" ht="15" hidden="false" customHeight="false" outlineLevel="0" collapsed="false">
      <c r="A329" s="12" t="s">
        <v>28</v>
      </c>
      <c r="B329" s="7" t="s">
        <v>29</v>
      </c>
      <c r="C329" s="12" t="s">
        <v>101</v>
      </c>
      <c r="D329" s="7" t="s">
        <v>40</v>
      </c>
      <c r="E329" s="7" t="s">
        <v>32</v>
      </c>
      <c r="F329" s="12" t="n">
        <f aca="false">IF(D329=E329,1,0)</f>
        <v>0</v>
      </c>
      <c r="G329" s="13" t="n">
        <v>-0.0384615384615384</v>
      </c>
      <c r="H329" s="14" t="n">
        <v>0.283951392340763</v>
      </c>
      <c r="I329" s="14" t="n">
        <v>0.366547531185996</v>
      </c>
      <c r="J329" s="14" t="n">
        <v>0.349501076473241</v>
      </c>
      <c r="K329" s="12" t="s">
        <v>86</v>
      </c>
      <c r="L329" s="15" t="n">
        <v>1094</v>
      </c>
      <c r="M329" s="15" t="n">
        <v>26</v>
      </c>
    </row>
    <row r="330" customFormat="false" ht="15" hidden="false" customHeight="false" outlineLevel="0" collapsed="false">
      <c r="A330" s="12" t="s">
        <v>34</v>
      </c>
      <c r="B330" s="7" t="s">
        <v>35</v>
      </c>
      <c r="C330" s="12" t="s">
        <v>101</v>
      </c>
      <c r="D330" s="7" t="s">
        <v>31</v>
      </c>
      <c r="E330" s="7" t="s">
        <v>32</v>
      </c>
      <c r="F330" s="12" t="n">
        <f aca="false">IF(D330=E330,1,0)</f>
        <v>0</v>
      </c>
      <c r="G330" s="13" t="n">
        <v>-0.0134874759152215</v>
      </c>
      <c r="H330" s="14" t="n">
        <v>0.312167454114417</v>
      </c>
      <c r="I330" s="14" t="n">
        <v>0.287923864721035</v>
      </c>
      <c r="J330" s="14" t="n">
        <v>0.399908681164548</v>
      </c>
      <c r="K330" s="12" t="s">
        <v>86</v>
      </c>
      <c r="L330" s="15" t="n">
        <v>1094</v>
      </c>
      <c r="M330" s="15" t="n">
        <v>26</v>
      </c>
    </row>
    <row r="331" customFormat="false" ht="15" hidden="false" customHeight="false" outlineLevel="0" collapsed="false">
      <c r="A331" s="12" t="s">
        <v>36</v>
      </c>
      <c r="B331" s="7" t="s">
        <v>37</v>
      </c>
      <c r="C331" s="12" t="s">
        <v>101</v>
      </c>
      <c r="D331" s="7" t="s">
        <v>32</v>
      </c>
      <c r="E331" s="7" t="s">
        <v>32</v>
      </c>
      <c r="F331" s="12" t="n">
        <f aca="false">IF(D331=E331,1,0)</f>
        <v>1</v>
      </c>
      <c r="G331" s="13" t="n">
        <v>-0.0401606425702811</v>
      </c>
      <c r="H331" s="14" t="n">
        <v>0.346553453351467</v>
      </c>
      <c r="I331" s="14" t="n">
        <v>0.312471672538421</v>
      </c>
      <c r="J331" s="14" t="n">
        <v>0.340974874110112</v>
      </c>
      <c r="K331" s="12" t="s">
        <v>86</v>
      </c>
      <c r="L331" s="15" t="n">
        <v>1094</v>
      </c>
      <c r="M331" s="15" t="n">
        <v>26</v>
      </c>
    </row>
    <row r="332" customFormat="false" ht="15" hidden="false" customHeight="false" outlineLevel="0" collapsed="false">
      <c r="A332" s="12" t="s">
        <v>38</v>
      </c>
      <c r="B332" s="7" t="s">
        <v>39</v>
      </c>
      <c r="C332" s="12" t="s">
        <v>101</v>
      </c>
      <c r="D332" s="7" t="s">
        <v>31</v>
      </c>
      <c r="E332" s="7" t="s">
        <v>32</v>
      </c>
      <c r="F332" s="12" t="n">
        <f aca="false">IF(D332=E332,1,0)</f>
        <v>0</v>
      </c>
      <c r="G332" s="13" t="n">
        <v>-0.0551267916207276</v>
      </c>
      <c r="H332" s="14" t="n">
        <v>0.25469907768264</v>
      </c>
      <c r="I332" s="14" t="n">
        <v>0.248997565650253</v>
      </c>
      <c r="J332" s="14" t="n">
        <v>0.496303356667108</v>
      </c>
      <c r="K332" s="12" t="s">
        <v>86</v>
      </c>
      <c r="L332" s="15" t="n">
        <v>1094</v>
      </c>
      <c r="M332" s="15" t="n">
        <v>26</v>
      </c>
    </row>
    <row r="333" customFormat="false" ht="15" hidden="false" customHeight="false" outlineLevel="0" collapsed="false">
      <c r="A333" s="12" t="s">
        <v>41</v>
      </c>
      <c r="B333" s="7" t="s">
        <v>42</v>
      </c>
      <c r="C333" s="12" t="s">
        <v>101</v>
      </c>
      <c r="D333" s="7" t="s">
        <v>40</v>
      </c>
      <c r="E333" s="7" t="s">
        <v>32</v>
      </c>
      <c r="F333" s="12" t="n">
        <f aca="false">IF(D333=E333,1,0)</f>
        <v>0</v>
      </c>
      <c r="G333" s="13" t="n">
        <v>-0.0132275132275132</v>
      </c>
      <c r="H333" s="14" t="n">
        <v>0.246422745398275</v>
      </c>
      <c r="I333" s="14" t="n">
        <v>0.402511048303155</v>
      </c>
      <c r="J333" s="14" t="n">
        <v>0.35106620629857</v>
      </c>
      <c r="K333" s="12" t="s">
        <v>86</v>
      </c>
      <c r="L333" s="15" t="n">
        <v>1094</v>
      </c>
      <c r="M333" s="15" t="n">
        <v>26</v>
      </c>
    </row>
    <row r="334" customFormat="false" ht="15" hidden="false" customHeight="false" outlineLevel="0" collapsed="false">
      <c r="A334" s="12" t="s">
        <v>43</v>
      </c>
      <c r="B334" s="7" t="s">
        <v>44</v>
      </c>
      <c r="C334" s="12" t="s">
        <v>101</v>
      </c>
      <c r="D334" s="7" t="s">
        <v>40</v>
      </c>
      <c r="E334" s="7" t="s">
        <v>32</v>
      </c>
      <c r="F334" s="12" t="n">
        <f aca="false">IF(D334=E334,1,0)</f>
        <v>0</v>
      </c>
      <c r="G334" s="13" t="n">
        <v>-0.0308370044052863</v>
      </c>
      <c r="H334" s="14" t="n">
        <v>0.298280901522532</v>
      </c>
      <c r="I334" s="14" t="n">
        <v>0.377839527566084</v>
      </c>
      <c r="J334" s="14" t="n">
        <v>0.323879570911385</v>
      </c>
      <c r="K334" s="12" t="s">
        <v>86</v>
      </c>
      <c r="L334" s="15" t="n">
        <v>1094</v>
      </c>
      <c r="M334" s="15" t="n">
        <v>26</v>
      </c>
    </row>
    <row r="335" customFormat="false" ht="15" hidden="false" customHeight="false" outlineLevel="0" collapsed="false">
      <c r="A335" s="12" t="s">
        <v>28</v>
      </c>
      <c r="B335" s="7" t="s">
        <v>29</v>
      </c>
      <c r="C335" s="12" t="s">
        <v>102</v>
      </c>
      <c r="D335" s="7" t="s">
        <v>31</v>
      </c>
      <c r="E335" s="7" t="s">
        <v>32</v>
      </c>
      <c r="F335" s="12" t="n">
        <f aca="false">IF(D335=E335,1,0)</f>
        <v>0</v>
      </c>
      <c r="G335" s="13" t="n">
        <v>-0.01</v>
      </c>
      <c r="H335" s="14" t="n">
        <v>0.345207846522686</v>
      </c>
      <c r="I335" s="14" t="n">
        <v>0.244812010381813</v>
      </c>
      <c r="J335" s="14" t="n">
        <v>0.409980143095501</v>
      </c>
      <c r="K335" s="12" t="s">
        <v>86</v>
      </c>
      <c r="L335" s="15" t="n">
        <v>1094</v>
      </c>
      <c r="M335" s="15" t="n">
        <v>26</v>
      </c>
    </row>
    <row r="336" customFormat="false" ht="15" hidden="false" customHeight="false" outlineLevel="0" collapsed="false">
      <c r="A336" s="12" t="s">
        <v>34</v>
      </c>
      <c r="B336" s="7" t="s">
        <v>35</v>
      </c>
      <c r="C336" s="12" t="s">
        <v>102</v>
      </c>
      <c r="D336" s="7" t="s">
        <v>32</v>
      </c>
      <c r="E336" s="7" t="s">
        <v>31</v>
      </c>
      <c r="F336" s="12" t="n">
        <f aca="false">IF(D336=E336,1,0)</f>
        <v>0</v>
      </c>
      <c r="G336" s="13" t="n">
        <v>0.005859375</v>
      </c>
      <c r="H336" s="14" t="n">
        <v>0.393266146245433</v>
      </c>
      <c r="I336" s="14" t="n">
        <v>0.278737981800013</v>
      </c>
      <c r="J336" s="14" t="n">
        <v>0.327995871954554</v>
      </c>
      <c r="K336" s="12" t="s">
        <v>86</v>
      </c>
      <c r="L336" s="15" t="n">
        <v>1094</v>
      </c>
      <c r="M336" s="15" t="n">
        <v>26</v>
      </c>
    </row>
    <row r="337" customFormat="false" ht="15" hidden="false" customHeight="false" outlineLevel="0" collapsed="false">
      <c r="A337" s="12" t="s">
        <v>36</v>
      </c>
      <c r="B337" s="7" t="s">
        <v>37</v>
      </c>
      <c r="C337" s="12" t="s">
        <v>102</v>
      </c>
      <c r="D337" s="7" t="s">
        <v>32</v>
      </c>
      <c r="E337" s="7" t="s">
        <v>40</v>
      </c>
      <c r="F337" s="12" t="n">
        <f aca="false">IF(D337=E337,1,0)</f>
        <v>0</v>
      </c>
      <c r="G337" s="13" t="n">
        <v>0</v>
      </c>
      <c r="H337" s="14" t="n">
        <v>0.481246295272775</v>
      </c>
      <c r="I337" s="14" t="n">
        <v>0.193484438257379</v>
      </c>
      <c r="J337" s="14" t="n">
        <v>0.325269266469846</v>
      </c>
      <c r="K337" s="12" t="s">
        <v>86</v>
      </c>
      <c r="L337" s="15" t="n">
        <v>1094</v>
      </c>
      <c r="M337" s="15" t="n">
        <v>26</v>
      </c>
    </row>
    <row r="338" customFormat="false" ht="15" hidden="false" customHeight="false" outlineLevel="0" collapsed="false">
      <c r="A338" s="12" t="s">
        <v>38</v>
      </c>
      <c r="B338" s="7" t="s">
        <v>39</v>
      </c>
      <c r="C338" s="12" t="s">
        <v>102</v>
      </c>
      <c r="D338" s="7" t="s">
        <v>31</v>
      </c>
      <c r="E338" s="7" t="s">
        <v>31</v>
      </c>
      <c r="F338" s="12" t="n">
        <f aca="false">IF(D338=E338,1,0)</f>
        <v>1</v>
      </c>
      <c r="G338" s="13" t="n">
        <v>0.0058343057176195</v>
      </c>
      <c r="H338" s="14" t="n">
        <v>0.382824502346261</v>
      </c>
      <c r="I338" s="14" t="n">
        <v>0.229812350905722</v>
      </c>
      <c r="J338" s="14" t="n">
        <v>0.387363146748017</v>
      </c>
      <c r="K338" s="12" t="s">
        <v>86</v>
      </c>
      <c r="L338" s="15" t="n">
        <v>1094</v>
      </c>
      <c r="M338" s="15" t="n">
        <v>26</v>
      </c>
    </row>
    <row r="339" customFormat="false" ht="15" hidden="false" customHeight="false" outlineLevel="0" collapsed="false">
      <c r="A339" s="12" t="s">
        <v>41</v>
      </c>
      <c r="B339" s="7" t="s">
        <v>42</v>
      </c>
      <c r="C339" s="12" t="s">
        <v>102</v>
      </c>
      <c r="D339" s="7" t="s">
        <v>40</v>
      </c>
      <c r="E339" s="7" t="s">
        <v>32</v>
      </c>
      <c r="F339" s="12" t="n">
        <f aca="false">IF(D339=E339,1,0)</f>
        <v>0</v>
      </c>
      <c r="G339" s="13" t="n">
        <v>-0.0080428954423592</v>
      </c>
      <c r="H339" s="14" t="n">
        <v>0.291406547793599</v>
      </c>
      <c r="I339" s="14" t="n">
        <v>0.401692992800688</v>
      </c>
      <c r="J339" s="14" t="n">
        <v>0.306900459405713</v>
      </c>
      <c r="K339" s="12" t="s">
        <v>86</v>
      </c>
      <c r="L339" s="15" t="n">
        <v>1094</v>
      </c>
      <c r="M339" s="15" t="n">
        <v>26</v>
      </c>
    </row>
    <row r="340" customFormat="false" ht="15" hidden="false" customHeight="false" outlineLevel="0" collapsed="false">
      <c r="A340" s="12" t="s">
        <v>43</v>
      </c>
      <c r="B340" s="7" t="s">
        <v>44</v>
      </c>
      <c r="C340" s="12" t="s">
        <v>102</v>
      </c>
      <c r="D340" s="7" t="s">
        <v>31</v>
      </c>
      <c r="E340" s="7" t="s">
        <v>31</v>
      </c>
      <c r="F340" s="12" t="n">
        <f aca="false">IF(D340=E340,1,0)</f>
        <v>1</v>
      </c>
      <c r="G340" s="13" t="n">
        <v>0.0136363636363636</v>
      </c>
      <c r="H340" s="14" t="n">
        <v>0.340043731799747</v>
      </c>
      <c r="I340" s="14" t="n">
        <v>0.262717719332194</v>
      </c>
      <c r="J340" s="14" t="n">
        <v>0.397238548868059</v>
      </c>
      <c r="K340" s="12" t="s">
        <v>86</v>
      </c>
      <c r="L340" s="15" t="n">
        <v>1094</v>
      </c>
      <c r="M340" s="15" t="n">
        <v>26</v>
      </c>
    </row>
    <row r="341" customFormat="false" ht="15" hidden="false" customHeight="false" outlineLevel="0" collapsed="false">
      <c r="A341" s="12" t="s">
        <v>28</v>
      </c>
      <c r="B341" s="7" t="s">
        <v>29</v>
      </c>
      <c r="C341" s="12" t="s">
        <v>103</v>
      </c>
      <c r="D341" s="7" t="s">
        <v>40</v>
      </c>
      <c r="E341" s="7" t="s">
        <v>32</v>
      </c>
      <c r="F341" s="12" t="n">
        <f aca="false">IF(D341=E341,1,0)</f>
        <v>0</v>
      </c>
      <c r="G341" s="13" t="n">
        <v>-0.0858585858585858</v>
      </c>
      <c r="H341" s="14" t="n">
        <v>0.267348200385642</v>
      </c>
      <c r="I341" s="14" t="n">
        <v>0.409967544754386</v>
      </c>
      <c r="J341" s="14" t="n">
        <v>0.322684254859973</v>
      </c>
      <c r="K341" s="12" t="s">
        <v>86</v>
      </c>
      <c r="L341" s="15" t="n">
        <v>1094</v>
      </c>
      <c r="M341" s="15" t="n">
        <v>26</v>
      </c>
    </row>
    <row r="342" customFormat="false" ht="15" hidden="false" customHeight="false" outlineLevel="0" collapsed="false">
      <c r="A342" s="12" t="s">
        <v>34</v>
      </c>
      <c r="B342" s="7" t="s">
        <v>35</v>
      </c>
      <c r="C342" s="12" t="s">
        <v>103</v>
      </c>
      <c r="D342" s="7" t="s">
        <v>32</v>
      </c>
      <c r="E342" s="7" t="s">
        <v>32</v>
      </c>
      <c r="F342" s="12" t="n">
        <f aca="false">IF(D342=E342,1,0)</f>
        <v>1</v>
      </c>
      <c r="G342" s="13" t="n">
        <v>-0.0349514563106796</v>
      </c>
      <c r="H342" s="14" t="n">
        <v>0.381304524235523</v>
      </c>
      <c r="I342" s="14" t="n">
        <v>0.27310764460853</v>
      </c>
      <c r="J342" s="14" t="n">
        <v>0.345587831155947</v>
      </c>
      <c r="K342" s="12" t="s">
        <v>86</v>
      </c>
      <c r="L342" s="15" t="n">
        <v>1094</v>
      </c>
      <c r="M342" s="15" t="n">
        <v>26</v>
      </c>
    </row>
    <row r="343" customFormat="false" ht="15" hidden="false" customHeight="false" outlineLevel="0" collapsed="false">
      <c r="A343" s="12" t="s">
        <v>36</v>
      </c>
      <c r="B343" s="7" t="s">
        <v>37</v>
      </c>
      <c r="C343" s="12" t="s">
        <v>103</v>
      </c>
      <c r="D343" s="7" t="s">
        <v>32</v>
      </c>
      <c r="E343" s="7" t="s">
        <v>32</v>
      </c>
      <c r="F343" s="12" t="n">
        <f aca="false">IF(D343=E343,1,0)</f>
        <v>1</v>
      </c>
      <c r="G343" s="13" t="n">
        <v>-0.0209205020920502</v>
      </c>
      <c r="H343" s="14" t="n">
        <v>0.366766851406385</v>
      </c>
      <c r="I343" s="14" t="n">
        <v>0.289424079414249</v>
      </c>
      <c r="J343" s="14" t="n">
        <v>0.343809069179366</v>
      </c>
      <c r="K343" s="12" t="s">
        <v>86</v>
      </c>
      <c r="L343" s="15" t="n">
        <v>1094</v>
      </c>
      <c r="M343" s="15" t="n">
        <v>26</v>
      </c>
    </row>
    <row r="344" customFormat="false" ht="15" hidden="false" customHeight="false" outlineLevel="0" collapsed="false">
      <c r="A344" s="12" t="s">
        <v>38</v>
      </c>
      <c r="B344" s="7" t="s">
        <v>39</v>
      </c>
      <c r="C344" s="12" t="s">
        <v>103</v>
      </c>
      <c r="D344" s="7" t="s">
        <v>31</v>
      </c>
      <c r="E344" s="7" t="s">
        <v>32</v>
      </c>
      <c r="F344" s="12" t="n">
        <f aca="false">IF(D344=E344,1,0)</f>
        <v>0</v>
      </c>
      <c r="G344" s="13" t="n">
        <v>-0.099767981438515</v>
      </c>
      <c r="H344" s="14" t="n">
        <v>0.375901908229722</v>
      </c>
      <c r="I344" s="14" t="n">
        <v>0.247737808081169</v>
      </c>
      <c r="J344" s="14" t="n">
        <v>0.376360283689109</v>
      </c>
      <c r="K344" s="12" t="s">
        <v>86</v>
      </c>
      <c r="L344" s="15" t="n">
        <v>1094</v>
      </c>
      <c r="M344" s="15" t="n">
        <v>26</v>
      </c>
    </row>
    <row r="345" customFormat="false" ht="15" hidden="false" customHeight="false" outlineLevel="0" collapsed="false">
      <c r="A345" s="12" t="s">
        <v>41</v>
      </c>
      <c r="B345" s="7" t="s">
        <v>42</v>
      </c>
      <c r="C345" s="12" t="s">
        <v>103</v>
      </c>
      <c r="D345" s="7" t="s">
        <v>40</v>
      </c>
      <c r="E345" s="7" t="s">
        <v>32</v>
      </c>
      <c r="F345" s="12" t="n">
        <f aca="false">IF(D345=E345,1,0)</f>
        <v>0</v>
      </c>
      <c r="G345" s="13" t="n">
        <v>-0.0216216216216216</v>
      </c>
      <c r="H345" s="14" t="n">
        <v>0.315789497135688</v>
      </c>
      <c r="I345" s="14" t="n">
        <v>0.416891814267919</v>
      </c>
      <c r="J345" s="14" t="n">
        <v>0.267318688596393</v>
      </c>
      <c r="K345" s="12" t="s">
        <v>86</v>
      </c>
      <c r="L345" s="15" t="n">
        <v>1094</v>
      </c>
      <c r="M345" s="15" t="n">
        <v>26</v>
      </c>
    </row>
    <row r="346" customFormat="false" ht="15" hidden="false" customHeight="false" outlineLevel="0" collapsed="false">
      <c r="A346" s="12" t="s">
        <v>43</v>
      </c>
      <c r="B346" s="7" t="s">
        <v>44</v>
      </c>
      <c r="C346" s="12" t="s">
        <v>103</v>
      </c>
      <c r="D346" s="7" t="s">
        <v>31</v>
      </c>
      <c r="E346" s="7" t="s">
        <v>32</v>
      </c>
      <c r="F346" s="12" t="n">
        <f aca="false">IF(D346=E346,1,0)</f>
        <v>0</v>
      </c>
      <c r="G346" s="13" t="n">
        <v>-0.0493273542600897</v>
      </c>
      <c r="H346" s="14" t="n">
        <v>0.353053753276486</v>
      </c>
      <c r="I346" s="14" t="n">
        <v>0.266338366282382</v>
      </c>
      <c r="J346" s="14" t="n">
        <v>0.380607880441131</v>
      </c>
      <c r="K346" s="12" t="s">
        <v>86</v>
      </c>
      <c r="L346" s="15" t="n">
        <v>1094</v>
      </c>
      <c r="M346" s="15" t="n">
        <v>26</v>
      </c>
    </row>
    <row r="347" customFormat="false" ht="15" hidden="false" customHeight="false" outlineLevel="0" collapsed="false">
      <c r="A347" s="12" t="s">
        <v>28</v>
      </c>
      <c r="B347" s="7" t="s">
        <v>29</v>
      </c>
      <c r="C347" s="12" t="s">
        <v>104</v>
      </c>
      <c r="D347" s="7" t="s">
        <v>32</v>
      </c>
      <c r="E347" s="7" t="s">
        <v>31</v>
      </c>
      <c r="F347" s="12" t="n">
        <f aca="false">IF(D347=E347,1,0)</f>
        <v>0</v>
      </c>
      <c r="G347" s="13" t="n">
        <v>0.0524861878453037</v>
      </c>
      <c r="H347" s="14" t="n">
        <v>0.397801631774083</v>
      </c>
      <c r="I347" s="14" t="n">
        <v>0.251474039466332</v>
      </c>
      <c r="J347" s="14" t="n">
        <v>0.350724328759585</v>
      </c>
      <c r="K347" s="12" t="s">
        <v>86</v>
      </c>
      <c r="L347" s="15" t="n">
        <v>1094</v>
      </c>
      <c r="M347" s="15" t="n">
        <v>26</v>
      </c>
    </row>
    <row r="348" customFormat="false" ht="15" hidden="false" customHeight="false" outlineLevel="0" collapsed="false">
      <c r="A348" s="12" t="s">
        <v>34</v>
      </c>
      <c r="B348" s="7" t="s">
        <v>35</v>
      </c>
      <c r="C348" s="12" t="s">
        <v>104</v>
      </c>
      <c r="D348" s="7" t="s">
        <v>40</v>
      </c>
      <c r="E348" s="7" t="s">
        <v>32</v>
      </c>
      <c r="F348" s="12" t="n">
        <f aca="false">IF(D348=E348,1,0)</f>
        <v>0</v>
      </c>
      <c r="G348" s="13" t="n">
        <v>-0.0080482897384306</v>
      </c>
      <c r="H348" s="14" t="n">
        <v>0.341782408417942</v>
      </c>
      <c r="I348" s="14" t="n">
        <v>0.381362686600688</v>
      </c>
      <c r="J348" s="14" t="n">
        <v>0.276854904981369</v>
      </c>
      <c r="K348" s="12" t="s">
        <v>86</v>
      </c>
      <c r="L348" s="15" t="n">
        <v>1094</v>
      </c>
      <c r="M348" s="15" t="n">
        <v>26</v>
      </c>
    </row>
    <row r="349" customFormat="false" ht="15" hidden="false" customHeight="false" outlineLevel="0" collapsed="false">
      <c r="A349" s="12" t="s">
        <v>36</v>
      </c>
      <c r="B349" s="7" t="s">
        <v>37</v>
      </c>
      <c r="C349" s="12" t="s">
        <v>104</v>
      </c>
      <c r="D349" s="7" t="s">
        <v>32</v>
      </c>
      <c r="E349" s="7" t="s">
        <v>31</v>
      </c>
      <c r="F349" s="12" t="n">
        <f aca="false">IF(D349=E349,1,0)</f>
        <v>0</v>
      </c>
      <c r="G349" s="13" t="n">
        <v>0.0128205128205127</v>
      </c>
      <c r="H349" s="14" t="n">
        <v>0.427757072705074</v>
      </c>
      <c r="I349" s="14" t="n">
        <v>0.243666525869249</v>
      </c>
      <c r="J349" s="14" t="n">
        <v>0.328576401425678</v>
      </c>
      <c r="K349" s="12" t="s">
        <v>86</v>
      </c>
      <c r="L349" s="15" t="n">
        <v>1094</v>
      </c>
      <c r="M349" s="15" t="n">
        <v>26</v>
      </c>
    </row>
    <row r="350" customFormat="false" ht="15" hidden="false" customHeight="false" outlineLevel="0" collapsed="false">
      <c r="A350" s="12" t="s">
        <v>38</v>
      </c>
      <c r="B350" s="7" t="s">
        <v>39</v>
      </c>
      <c r="C350" s="12" t="s">
        <v>104</v>
      </c>
      <c r="D350" s="7" t="s">
        <v>32</v>
      </c>
      <c r="E350" s="7" t="s">
        <v>31</v>
      </c>
      <c r="F350" s="12" t="n">
        <f aca="false">IF(D350=E350,1,0)</f>
        <v>0</v>
      </c>
      <c r="G350" s="13" t="n">
        <v>0.0077319587628865</v>
      </c>
      <c r="H350" s="14" t="n">
        <v>0.405796656457241</v>
      </c>
      <c r="I350" s="14" t="n">
        <v>0.242421053830207</v>
      </c>
      <c r="J350" s="14" t="n">
        <v>0.351782289712552</v>
      </c>
      <c r="K350" s="12" t="s">
        <v>86</v>
      </c>
      <c r="L350" s="15" t="n">
        <v>1094</v>
      </c>
      <c r="M350" s="15" t="n">
        <v>26</v>
      </c>
    </row>
    <row r="351" customFormat="false" ht="15" hidden="false" customHeight="false" outlineLevel="0" collapsed="false">
      <c r="A351" s="12" t="s">
        <v>41</v>
      </c>
      <c r="B351" s="7" t="s">
        <v>42</v>
      </c>
      <c r="C351" s="12" t="s">
        <v>104</v>
      </c>
      <c r="D351" s="7" t="s">
        <v>40</v>
      </c>
      <c r="E351" s="7" t="s">
        <v>31</v>
      </c>
      <c r="F351" s="12" t="n">
        <f aca="false">IF(D351=E351,1,0)</f>
        <v>0</v>
      </c>
      <c r="G351" s="13" t="n">
        <v>0.0165745856353591</v>
      </c>
      <c r="H351" s="14" t="n">
        <v>0.356936277011718</v>
      </c>
      <c r="I351" s="14" t="n">
        <v>0.386388757528025</v>
      </c>
      <c r="J351" s="14" t="n">
        <v>0.256674965460256</v>
      </c>
      <c r="K351" s="12" t="s">
        <v>86</v>
      </c>
      <c r="L351" s="15" t="n">
        <v>1094</v>
      </c>
      <c r="M351" s="15" t="n">
        <v>26</v>
      </c>
    </row>
    <row r="352" customFormat="false" ht="15" hidden="false" customHeight="false" outlineLevel="0" collapsed="false">
      <c r="A352" s="12" t="s">
        <v>43</v>
      </c>
      <c r="B352" s="7" t="s">
        <v>44</v>
      </c>
      <c r="C352" s="12" t="s">
        <v>104</v>
      </c>
      <c r="D352" s="7" t="s">
        <v>31</v>
      </c>
      <c r="E352" s="7" t="s">
        <v>32</v>
      </c>
      <c r="F352" s="12" t="n">
        <f aca="false">IF(D352=E352,1,0)</f>
        <v>0</v>
      </c>
      <c r="G352" s="13" t="n">
        <v>-0.0424528301886792</v>
      </c>
      <c r="H352" s="14" t="n">
        <v>0.377003161160373</v>
      </c>
      <c r="I352" s="14" t="n">
        <v>0.19175635765107</v>
      </c>
      <c r="J352" s="14" t="n">
        <v>0.431240481188558</v>
      </c>
      <c r="K352" s="12" t="s">
        <v>86</v>
      </c>
      <c r="L352" s="15" t="n">
        <v>1094</v>
      </c>
      <c r="M352" s="15" t="n">
        <v>26</v>
      </c>
    </row>
    <row r="353" customFormat="false" ht="15" hidden="false" customHeight="false" outlineLevel="0" collapsed="false">
      <c r="A353" s="12" t="s">
        <v>28</v>
      </c>
      <c r="B353" s="7" t="s">
        <v>29</v>
      </c>
      <c r="C353" s="12" t="s">
        <v>105</v>
      </c>
      <c r="D353" s="7" t="s">
        <v>31</v>
      </c>
      <c r="E353" s="7" t="s">
        <v>31</v>
      </c>
      <c r="F353" s="12" t="n">
        <f aca="false">IF(D353=E353,1,0)</f>
        <v>1</v>
      </c>
      <c r="G353" s="13" t="n">
        <v>0.0236220472440944</v>
      </c>
      <c r="H353" s="14" t="n">
        <v>0.277850605963217</v>
      </c>
      <c r="I353" s="14" t="n">
        <v>0.294192912576825</v>
      </c>
      <c r="J353" s="14" t="n">
        <v>0.427956481459958</v>
      </c>
      <c r="K353" s="12" t="s">
        <v>86</v>
      </c>
      <c r="L353" s="15" t="n">
        <v>1094</v>
      </c>
      <c r="M353" s="15" t="n">
        <v>26</v>
      </c>
    </row>
    <row r="354" customFormat="false" ht="15" hidden="false" customHeight="false" outlineLevel="0" collapsed="false">
      <c r="A354" s="12" t="s">
        <v>34</v>
      </c>
      <c r="B354" s="7" t="s">
        <v>35</v>
      </c>
      <c r="C354" s="12" t="s">
        <v>105</v>
      </c>
      <c r="D354" s="7" t="s">
        <v>40</v>
      </c>
      <c r="E354" s="7" t="s">
        <v>31</v>
      </c>
      <c r="F354" s="12" t="n">
        <f aca="false">IF(D354=E354,1,0)</f>
        <v>0</v>
      </c>
      <c r="G354" s="13" t="n">
        <v>0.0182555780933062</v>
      </c>
      <c r="H354" s="14" t="n">
        <v>0.309669932268342</v>
      </c>
      <c r="I354" s="14" t="n">
        <v>0.392185793231816</v>
      </c>
      <c r="J354" s="14" t="n">
        <v>0.298144274499843</v>
      </c>
      <c r="K354" s="12" t="s">
        <v>86</v>
      </c>
      <c r="L354" s="15" t="n">
        <v>1094</v>
      </c>
      <c r="M354" s="15" t="n">
        <v>26</v>
      </c>
    </row>
    <row r="355" customFormat="false" ht="15" hidden="false" customHeight="false" outlineLevel="0" collapsed="false">
      <c r="A355" s="12" t="s">
        <v>36</v>
      </c>
      <c r="B355" s="7" t="s">
        <v>37</v>
      </c>
      <c r="C355" s="12" t="s">
        <v>105</v>
      </c>
      <c r="D355" s="7" t="s">
        <v>32</v>
      </c>
      <c r="E355" s="7" t="s">
        <v>31</v>
      </c>
      <c r="F355" s="12" t="n">
        <f aca="false">IF(D355=E355,1,0)</f>
        <v>0</v>
      </c>
      <c r="G355" s="13" t="n">
        <v>0.0168776371308017</v>
      </c>
      <c r="H355" s="14" t="n">
        <v>0.401796584472944</v>
      </c>
      <c r="I355" s="14" t="n">
        <v>0.277596995351275</v>
      </c>
      <c r="J355" s="14" t="n">
        <v>0.320606420175781</v>
      </c>
      <c r="K355" s="12" t="s">
        <v>86</v>
      </c>
      <c r="L355" s="15" t="n">
        <v>1094</v>
      </c>
      <c r="M355" s="15" t="n">
        <v>26</v>
      </c>
    </row>
    <row r="356" customFormat="false" ht="15" hidden="false" customHeight="false" outlineLevel="0" collapsed="false">
      <c r="A356" s="12" t="s">
        <v>38</v>
      </c>
      <c r="B356" s="7" t="s">
        <v>39</v>
      </c>
      <c r="C356" s="12" t="s">
        <v>105</v>
      </c>
      <c r="D356" s="7" t="s">
        <v>31</v>
      </c>
      <c r="E356" s="7" t="s">
        <v>31</v>
      </c>
      <c r="F356" s="12" t="n">
        <f aca="false">IF(D356=E356,1,0)</f>
        <v>1</v>
      </c>
      <c r="G356" s="13" t="n">
        <v>0.0856777493606137</v>
      </c>
      <c r="H356" s="14" t="n">
        <v>0.285334832881494</v>
      </c>
      <c r="I356" s="14" t="n">
        <v>0.293413929043699</v>
      </c>
      <c r="J356" s="14" t="n">
        <v>0.421251238074807</v>
      </c>
      <c r="K356" s="12" t="s">
        <v>86</v>
      </c>
      <c r="L356" s="15" t="n">
        <v>1094</v>
      </c>
      <c r="M356" s="15" t="n">
        <v>26</v>
      </c>
    </row>
    <row r="357" customFormat="false" ht="15" hidden="false" customHeight="false" outlineLevel="0" collapsed="false">
      <c r="A357" s="12" t="s">
        <v>41</v>
      </c>
      <c r="B357" s="7" t="s">
        <v>42</v>
      </c>
      <c r="C357" s="12" t="s">
        <v>105</v>
      </c>
      <c r="D357" s="7" t="s">
        <v>40</v>
      </c>
      <c r="E357" s="7" t="s">
        <v>40</v>
      </c>
      <c r="F357" s="12" t="n">
        <f aca="false">IF(D357=E357,1,0)</f>
        <v>1</v>
      </c>
      <c r="G357" s="13" t="n">
        <v>0.0027173913043478</v>
      </c>
      <c r="H357" s="14" t="n">
        <v>0.286244260016861</v>
      </c>
      <c r="I357" s="14" t="n">
        <v>0.371054862524522</v>
      </c>
      <c r="J357" s="14" t="n">
        <v>0.342700877458617</v>
      </c>
      <c r="K357" s="12" t="s">
        <v>86</v>
      </c>
      <c r="L357" s="15" t="n">
        <v>1094</v>
      </c>
      <c r="M357" s="15" t="n">
        <v>26</v>
      </c>
    </row>
    <row r="358" customFormat="false" ht="15" hidden="false" customHeight="false" outlineLevel="0" collapsed="false">
      <c r="A358" s="12" t="s">
        <v>43</v>
      </c>
      <c r="B358" s="7" t="s">
        <v>44</v>
      </c>
      <c r="C358" s="12" t="s">
        <v>105</v>
      </c>
      <c r="D358" s="7" t="s">
        <v>31</v>
      </c>
      <c r="E358" s="7" t="s">
        <v>32</v>
      </c>
      <c r="F358" s="12" t="n">
        <f aca="false">IF(D358=E358,1,0)</f>
        <v>0</v>
      </c>
      <c r="G358" s="13" t="n">
        <v>-0.0315270935960591</v>
      </c>
      <c r="H358" s="14" t="n">
        <v>0.355592998717875</v>
      </c>
      <c r="I358" s="14" t="n">
        <v>0.199207269563788</v>
      </c>
      <c r="J358" s="14" t="n">
        <v>0.445199731718336</v>
      </c>
      <c r="K358" s="12" t="s">
        <v>86</v>
      </c>
      <c r="L358" s="15" t="n">
        <v>1094</v>
      </c>
      <c r="M358" s="15" t="n">
        <v>26</v>
      </c>
    </row>
    <row r="359" customFormat="false" ht="15" hidden="false" customHeight="false" outlineLevel="0" collapsed="false">
      <c r="A359" s="12" t="s">
        <v>28</v>
      </c>
      <c r="B359" s="7" t="s">
        <v>29</v>
      </c>
      <c r="C359" s="12" t="s">
        <v>106</v>
      </c>
      <c r="D359" s="7" t="s">
        <v>31</v>
      </c>
      <c r="E359" s="7" t="s">
        <v>31</v>
      </c>
      <c r="F359" s="12" t="n">
        <f aca="false">IF(D359=E359,1,0)</f>
        <v>1</v>
      </c>
      <c r="G359" s="13" t="n">
        <v>0.0205128205128204</v>
      </c>
      <c r="H359" s="14" t="n">
        <v>0.228375555409047</v>
      </c>
      <c r="I359" s="14" t="n">
        <v>0.332929153517221</v>
      </c>
      <c r="J359" s="14" t="n">
        <v>0.438695291073732</v>
      </c>
      <c r="K359" s="12" t="s">
        <v>86</v>
      </c>
      <c r="L359" s="15" t="n">
        <v>1094</v>
      </c>
      <c r="M359" s="15" t="n">
        <v>26</v>
      </c>
    </row>
    <row r="360" customFormat="false" ht="15" hidden="false" customHeight="false" outlineLevel="0" collapsed="false">
      <c r="A360" s="12" t="s">
        <v>34</v>
      </c>
      <c r="B360" s="7" t="s">
        <v>35</v>
      </c>
      <c r="C360" s="12" t="s">
        <v>106</v>
      </c>
      <c r="D360" s="7" t="s">
        <v>31</v>
      </c>
      <c r="E360" s="7" t="s">
        <v>32</v>
      </c>
      <c r="F360" s="12" t="n">
        <f aca="false">IF(D360=E360,1,0)</f>
        <v>0</v>
      </c>
      <c r="G360" s="13" t="n">
        <v>-0.0119521912350597</v>
      </c>
      <c r="H360" s="14" t="n">
        <v>0.305734437489167</v>
      </c>
      <c r="I360" s="14" t="n">
        <v>0.327554510188988</v>
      </c>
      <c r="J360" s="14" t="n">
        <v>0.366711052321845</v>
      </c>
      <c r="K360" s="12" t="s">
        <v>86</v>
      </c>
      <c r="L360" s="15" t="n">
        <v>1094</v>
      </c>
      <c r="M360" s="15" t="n">
        <v>26</v>
      </c>
    </row>
    <row r="361" customFormat="false" ht="15" hidden="false" customHeight="false" outlineLevel="0" collapsed="false">
      <c r="A361" s="12" t="s">
        <v>36</v>
      </c>
      <c r="B361" s="7" t="s">
        <v>37</v>
      </c>
      <c r="C361" s="12" t="s">
        <v>106</v>
      </c>
      <c r="D361" s="7" t="s">
        <v>31</v>
      </c>
      <c r="E361" s="7" t="s">
        <v>31</v>
      </c>
      <c r="F361" s="12" t="n">
        <f aca="false">IF(D361=E361,1,0)</f>
        <v>1</v>
      </c>
      <c r="G361" s="13" t="n">
        <v>0.0394190871369295</v>
      </c>
      <c r="H361" s="14" t="n">
        <v>0.361705396822645</v>
      </c>
      <c r="I361" s="14" t="n">
        <v>0.21791759670465</v>
      </c>
      <c r="J361" s="14" t="n">
        <v>0.420377006472706</v>
      </c>
      <c r="K361" s="12" t="s">
        <v>86</v>
      </c>
      <c r="L361" s="15" t="n">
        <v>1094</v>
      </c>
      <c r="M361" s="15" t="n">
        <v>26</v>
      </c>
    </row>
    <row r="362" customFormat="false" ht="15" hidden="false" customHeight="false" outlineLevel="0" collapsed="false">
      <c r="A362" s="12" t="s">
        <v>38</v>
      </c>
      <c r="B362" s="7" t="s">
        <v>39</v>
      </c>
      <c r="C362" s="12" t="s">
        <v>106</v>
      </c>
      <c r="D362" s="7" t="s">
        <v>31</v>
      </c>
      <c r="E362" s="7" t="s">
        <v>31</v>
      </c>
      <c r="F362" s="12" t="n">
        <f aca="false">IF(D362=E362,1,0)</f>
        <v>1</v>
      </c>
      <c r="G362" s="13" t="n">
        <v>0.0212014134275617</v>
      </c>
      <c r="H362" s="14" t="n">
        <v>0.337306629183932</v>
      </c>
      <c r="I362" s="14" t="n">
        <v>0.262389205557622</v>
      </c>
      <c r="J362" s="14" t="n">
        <v>0.400304165258446</v>
      </c>
      <c r="K362" s="12" t="s">
        <v>86</v>
      </c>
      <c r="L362" s="15" t="n">
        <v>1094</v>
      </c>
      <c r="M362" s="15" t="n">
        <v>26</v>
      </c>
    </row>
    <row r="363" customFormat="false" ht="15" hidden="false" customHeight="false" outlineLevel="0" collapsed="false">
      <c r="A363" s="12" t="s">
        <v>41</v>
      </c>
      <c r="B363" s="7" t="s">
        <v>42</v>
      </c>
      <c r="C363" s="12" t="s">
        <v>106</v>
      </c>
      <c r="D363" s="7" t="s">
        <v>31</v>
      </c>
      <c r="E363" s="7" t="s">
        <v>31</v>
      </c>
      <c r="F363" s="12" t="n">
        <f aca="false">IF(D363=E363,1,0)</f>
        <v>1</v>
      </c>
      <c r="G363" s="13" t="n">
        <v>0.005420054200542</v>
      </c>
      <c r="H363" s="14" t="n">
        <v>0.30327516346529</v>
      </c>
      <c r="I363" s="14" t="n">
        <v>0.346349004114915</v>
      </c>
      <c r="J363" s="14" t="n">
        <v>0.350375832419795</v>
      </c>
      <c r="K363" s="12" t="s">
        <v>86</v>
      </c>
      <c r="L363" s="15" t="n">
        <v>1094</v>
      </c>
      <c r="M363" s="15" t="n">
        <v>26</v>
      </c>
    </row>
    <row r="364" customFormat="false" ht="15" hidden="false" customHeight="false" outlineLevel="0" collapsed="false">
      <c r="A364" s="12" t="s">
        <v>43</v>
      </c>
      <c r="B364" s="7" t="s">
        <v>44</v>
      </c>
      <c r="C364" s="12" t="s">
        <v>106</v>
      </c>
      <c r="D364" s="7" t="s">
        <v>31</v>
      </c>
      <c r="E364" s="7" t="s">
        <v>32</v>
      </c>
      <c r="F364" s="12" t="n">
        <f aca="false">IF(D364=E364,1,0)</f>
        <v>0</v>
      </c>
      <c r="G364" s="13" t="n">
        <v>-0.0335707019328586</v>
      </c>
      <c r="H364" s="14" t="n">
        <v>0.387748843890535</v>
      </c>
      <c r="I364" s="14" t="n">
        <v>0.203914374991935</v>
      </c>
      <c r="J364" s="14" t="n">
        <v>0.40833678111753</v>
      </c>
      <c r="K364" s="12" t="s">
        <v>86</v>
      </c>
      <c r="L364" s="15" t="n">
        <v>1094</v>
      </c>
      <c r="M364" s="15" t="n">
        <v>26</v>
      </c>
    </row>
    <row r="365" customFormat="false" ht="15" hidden="false" customHeight="false" outlineLevel="0" collapsed="false">
      <c r="A365" s="12" t="s">
        <v>28</v>
      </c>
      <c r="B365" s="7" t="s">
        <v>29</v>
      </c>
      <c r="C365" s="12" t="s">
        <v>107</v>
      </c>
      <c r="D365" s="7" t="s">
        <v>40</v>
      </c>
      <c r="E365" s="7" t="s">
        <v>32</v>
      </c>
      <c r="F365" s="12" t="n">
        <f aca="false">IF(D365=E365,1,0)</f>
        <v>0</v>
      </c>
      <c r="G365" s="13" t="n">
        <v>-0.0100502512562814</v>
      </c>
      <c r="H365" s="14" t="n">
        <v>0.331768999626095</v>
      </c>
      <c r="I365" s="14" t="n">
        <v>0.343733169961822</v>
      </c>
      <c r="J365" s="14" t="n">
        <v>0.324497830412084</v>
      </c>
      <c r="K365" s="12" t="s">
        <v>108</v>
      </c>
      <c r="L365" s="15" t="n">
        <v>1220</v>
      </c>
      <c r="M365" s="15" t="n">
        <v>1</v>
      </c>
    </row>
    <row r="366" customFormat="false" ht="15" hidden="false" customHeight="false" outlineLevel="0" collapsed="false">
      <c r="A366" s="12" t="s">
        <v>34</v>
      </c>
      <c r="B366" s="7" t="s">
        <v>35</v>
      </c>
      <c r="C366" s="12" t="s">
        <v>107</v>
      </c>
      <c r="D366" s="7" t="s">
        <v>40</v>
      </c>
      <c r="E366" s="7" t="s">
        <v>32</v>
      </c>
      <c r="F366" s="12" t="n">
        <f aca="false">IF(D366=E366,1,0)</f>
        <v>0</v>
      </c>
      <c r="G366" s="13" t="n">
        <v>-0.0362903225806451</v>
      </c>
      <c r="H366" s="14" t="n">
        <v>0.33793211067947</v>
      </c>
      <c r="I366" s="14" t="n">
        <v>0.340562910428788</v>
      </c>
      <c r="J366" s="14" t="n">
        <v>0.321504978891741</v>
      </c>
      <c r="K366" s="12" t="s">
        <v>108</v>
      </c>
      <c r="L366" s="15" t="n">
        <v>1220</v>
      </c>
      <c r="M366" s="15" t="n">
        <v>1</v>
      </c>
    </row>
    <row r="367" customFormat="false" ht="15" hidden="false" customHeight="false" outlineLevel="0" collapsed="false">
      <c r="A367" s="12" t="s">
        <v>36</v>
      </c>
      <c r="B367" s="7" t="s">
        <v>37</v>
      </c>
      <c r="C367" s="12" t="s">
        <v>107</v>
      </c>
      <c r="D367" s="7" t="s">
        <v>32</v>
      </c>
      <c r="E367" s="7" t="s">
        <v>32</v>
      </c>
      <c r="F367" s="12" t="n">
        <f aca="false">IF(D367=E367,1,0)</f>
        <v>1</v>
      </c>
      <c r="G367" s="13" t="n">
        <v>-0.0159680638722554</v>
      </c>
      <c r="H367" s="14" t="n">
        <v>0.337788553936976</v>
      </c>
      <c r="I367" s="14" t="n">
        <v>0.325082814152831</v>
      </c>
      <c r="J367" s="14" t="n">
        <v>0.337128631910192</v>
      </c>
      <c r="K367" s="12" t="s">
        <v>108</v>
      </c>
      <c r="L367" s="15" t="n">
        <v>1220</v>
      </c>
      <c r="M367" s="15" t="n">
        <v>1</v>
      </c>
    </row>
    <row r="368" customFormat="false" ht="15" hidden="false" customHeight="false" outlineLevel="0" collapsed="false">
      <c r="A368" s="12" t="s">
        <v>38</v>
      </c>
      <c r="B368" s="7" t="s">
        <v>39</v>
      </c>
      <c r="C368" s="12" t="s">
        <v>107</v>
      </c>
      <c r="D368" s="7" t="s">
        <v>31</v>
      </c>
      <c r="E368" s="7" t="s">
        <v>40</v>
      </c>
      <c r="F368" s="12" t="n">
        <f aca="false">IF(D368=E368,1,0)</f>
        <v>0</v>
      </c>
      <c r="G368" s="13" t="n">
        <v>0.0023068050749712</v>
      </c>
      <c r="H368" s="14" t="n">
        <v>0.332043584439848</v>
      </c>
      <c r="I368" s="14" t="n">
        <v>0.328898845617548</v>
      </c>
      <c r="J368" s="14" t="n">
        <v>0.339057569942604</v>
      </c>
      <c r="K368" s="12" t="s">
        <v>108</v>
      </c>
      <c r="L368" s="15" t="n">
        <v>1220</v>
      </c>
      <c r="M368" s="15" t="n">
        <v>1</v>
      </c>
    </row>
    <row r="369" customFormat="false" ht="15" hidden="false" customHeight="false" outlineLevel="0" collapsed="false">
      <c r="A369" s="12" t="s">
        <v>41</v>
      </c>
      <c r="B369" s="7" t="s">
        <v>42</v>
      </c>
      <c r="C369" s="12" t="s">
        <v>107</v>
      </c>
      <c r="D369" s="7" t="s">
        <v>40</v>
      </c>
      <c r="E369" s="7" t="s">
        <v>40</v>
      </c>
      <c r="F369" s="12" t="n">
        <f aca="false">IF(D369=E369,1,0)</f>
        <v>1</v>
      </c>
      <c r="G369" s="13" t="n">
        <v>0</v>
      </c>
      <c r="H369" s="14" t="n">
        <v>0.328447318981376</v>
      </c>
      <c r="I369" s="14" t="n">
        <v>0.345629647595974</v>
      </c>
      <c r="J369" s="14" t="n">
        <v>0.325923033422651</v>
      </c>
      <c r="K369" s="12" t="s">
        <v>108</v>
      </c>
      <c r="L369" s="15" t="n">
        <v>1220</v>
      </c>
      <c r="M369" s="15" t="n">
        <v>1</v>
      </c>
    </row>
    <row r="370" customFormat="false" ht="15" hidden="false" customHeight="false" outlineLevel="0" collapsed="false">
      <c r="A370" s="12" t="s">
        <v>43</v>
      </c>
      <c r="B370" s="7" t="s">
        <v>44</v>
      </c>
      <c r="C370" s="12" t="s">
        <v>107</v>
      </c>
      <c r="D370" s="7" t="s">
        <v>31</v>
      </c>
      <c r="E370" s="7" t="s">
        <v>32</v>
      </c>
      <c r="F370" s="12" t="n">
        <f aca="false">IF(D370=E370,1,0)</f>
        <v>0</v>
      </c>
      <c r="G370" s="13" t="n">
        <v>-0.0157894736842105</v>
      </c>
      <c r="H370" s="14" t="n">
        <v>0.326254322915251</v>
      </c>
      <c r="I370" s="14" t="n">
        <v>0.328063022363391</v>
      </c>
      <c r="J370" s="14" t="n">
        <v>0.345682654721358</v>
      </c>
      <c r="K370" s="12" t="s">
        <v>108</v>
      </c>
      <c r="L370" s="15" t="n">
        <v>1220</v>
      </c>
      <c r="M370" s="15" t="n">
        <v>1</v>
      </c>
    </row>
    <row r="371" customFormat="false" ht="15" hidden="false" customHeight="false" outlineLevel="0" collapsed="false">
      <c r="A371" s="12" t="s">
        <v>28</v>
      </c>
      <c r="B371" s="7" t="s">
        <v>29</v>
      </c>
      <c r="C371" s="12" t="s">
        <v>109</v>
      </c>
      <c r="D371" s="7" t="s">
        <v>40</v>
      </c>
      <c r="E371" s="7" t="s">
        <v>31</v>
      </c>
      <c r="F371" s="12" t="n">
        <f aca="false">IF(D371=E371,1,0)</f>
        <v>0</v>
      </c>
      <c r="G371" s="13" t="n">
        <v>0.0532994923857867</v>
      </c>
      <c r="H371" s="14" t="n">
        <v>0.331768999626095</v>
      </c>
      <c r="I371" s="14" t="n">
        <v>0.343733169961822</v>
      </c>
      <c r="J371" s="14" t="n">
        <v>0.324497830412084</v>
      </c>
      <c r="K371" s="12" t="s">
        <v>108</v>
      </c>
      <c r="L371" s="15" t="n">
        <v>1220</v>
      </c>
      <c r="M371" s="15" t="n">
        <v>1</v>
      </c>
    </row>
    <row r="372" customFormat="false" ht="15" hidden="false" customHeight="false" outlineLevel="0" collapsed="false">
      <c r="A372" s="12" t="s">
        <v>34</v>
      </c>
      <c r="B372" s="7" t="s">
        <v>35</v>
      </c>
      <c r="C372" s="12" t="s">
        <v>109</v>
      </c>
      <c r="D372" s="7" t="s">
        <v>40</v>
      </c>
      <c r="E372" s="7" t="s">
        <v>31</v>
      </c>
      <c r="F372" s="12" t="n">
        <f aca="false">IF(D372=E372,1,0)</f>
        <v>0</v>
      </c>
      <c r="G372" s="13" t="n">
        <v>0.0062761506276149</v>
      </c>
      <c r="H372" s="14" t="n">
        <v>0.323978820827974</v>
      </c>
      <c r="I372" s="14" t="n">
        <v>0.339167132225662</v>
      </c>
      <c r="J372" s="14" t="n">
        <v>0.336854046946364</v>
      </c>
      <c r="K372" s="12" t="s">
        <v>108</v>
      </c>
      <c r="L372" s="15" t="n">
        <v>1220</v>
      </c>
      <c r="M372" s="15" t="n">
        <v>1</v>
      </c>
    </row>
    <row r="373" customFormat="false" ht="15" hidden="false" customHeight="false" outlineLevel="0" collapsed="false">
      <c r="A373" s="12" t="s">
        <v>36</v>
      </c>
      <c r="B373" s="7" t="s">
        <v>37</v>
      </c>
      <c r="C373" s="12" t="s">
        <v>109</v>
      </c>
      <c r="D373" s="7" t="s">
        <v>32</v>
      </c>
      <c r="E373" s="7" t="s">
        <v>32</v>
      </c>
      <c r="F373" s="12" t="n">
        <f aca="false">IF(D373=E373,1,0)</f>
        <v>1</v>
      </c>
      <c r="G373" s="13" t="n">
        <v>-0.0081135902636917</v>
      </c>
      <c r="H373" s="14" t="n">
        <v>0.342148909474668</v>
      </c>
      <c r="I373" s="14" t="n">
        <v>0.321782563450744</v>
      </c>
      <c r="J373" s="14" t="n">
        <v>0.336068527074587</v>
      </c>
      <c r="K373" s="12" t="s">
        <v>108</v>
      </c>
      <c r="L373" s="15" t="n">
        <v>1220</v>
      </c>
      <c r="M373" s="15" t="n">
        <v>1</v>
      </c>
    </row>
    <row r="374" customFormat="false" ht="15" hidden="false" customHeight="false" outlineLevel="0" collapsed="false">
      <c r="A374" s="12" t="s">
        <v>38</v>
      </c>
      <c r="B374" s="7" t="s">
        <v>39</v>
      </c>
      <c r="C374" s="12" t="s">
        <v>109</v>
      </c>
      <c r="D374" s="7" t="s">
        <v>31</v>
      </c>
      <c r="E374" s="7" t="s">
        <v>32</v>
      </c>
      <c r="F374" s="12" t="n">
        <f aca="false">IF(D374=E374,1,0)</f>
        <v>0</v>
      </c>
      <c r="G374" s="13" t="n">
        <v>-0.0345224395857307</v>
      </c>
      <c r="H374" s="14" t="n">
        <v>0.332043584439848</v>
      </c>
      <c r="I374" s="14" t="n">
        <v>0.328898845617548</v>
      </c>
      <c r="J374" s="14" t="n">
        <v>0.339057569942604</v>
      </c>
      <c r="K374" s="12" t="s">
        <v>108</v>
      </c>
      <c r="L374" s="15" t="n">
        <v>1220</v>
      </c>
      <c r="M374" s="15" t="n">
        <v>1</v>
      </c>
    </row>
    <row r="375" customFormat="false" ht="15" hidden="false" customHeight="false" outlineLevel="0" collapsed="false">
      <c r="A375" s="12" t="s">
        <v>41</v>
      </c>
      <c r="B375" s="7" t="s">
        <v>42</v>
      </c>
      <c r="C375" s="12" t="s">
        <v>109</v>
      </c>
      <c r="D375" s="7" t="s">
        <v>40</v>
      </c>
      <c r="E375" s="7" t="s">
        <v>31</v>
      </c>
      <c r="F375" s="12" t="n">
        <f aca="false">IF(D375=E375,1,0)</f>
        <v>0</v>
      </c>
      <c r="G375" s="13" t="n">
        <v>0.0512129380053907</v>
      </c>
      <c r="H375" s="14" t="n">
        <v>0.331641284192205</v>
      </c>
      <c r="I375" s="14" t="n">
        <v>0.343985801772027</v>
      </c>
      <c r="J375" s="14" t="n">
        <v>0.324372914035768</v>
      </c>
      <c r="K375" s="12" t="s">
        <v>108</v>
      </c>
      <c r="L375" s="15" t="n">
        <v>1220</v>
      </c>
      <c r="M375" s="15" t="n">
        <v>1</v>
      </c>
    </row>
    <row r="376" customFormat="false" ht="15" hidden="false" customHeight="false" outlineLevel="0" collapsed="false">
      <c r="A376" s="12" t="s">
        <v>43</v>
      </c>
      <c r="B376" s="7" t="s">
        <v>44</v>
      </c>
      <c r="C376" s="12" t="s">
        <v>109</v>
      </c>
      <c r="D376" s="7" t="s">
        <v>31</v>
      </c>
      <c r="E376" s="7" t="s">
        <v>40</v>
      </c>
      <c r="F376" s="12" t="n">
        <f aca="false">IF(D376=E376,1,0)</f>
        <v>0</v>
      </c>
      <c r="G376" s="13" t="n">
        <v>0.0010695187165774</v>
      </c>
      <c r="H376" s="14" t="n">
        <v>0.330397471886865</v>
      </c>
      <c r="I376" s="14" t="n">
        <v>0.332229140260571</v>
      </c>
      <c r="J376" s="14" t="n">
        <v>0.337373387852564</v>
      </c>
      <c r="K376" s="12" t="s">
        <v>108</v>
      </c>
      <c r="L376" s="15" t="n">
        <v>1220</v>
      </c>
      <c r="M376" s="15" t="n">
        <v>1</v>
      </c>
    </row>
    <row r="377" customFormat="false" ht="15" hidden="false" customHeight="false" outlineLevel="0" collapsed="false">
      <c r="A377" s="12" t="s">
        <v>28</v>
      </c>
      <c r="B377" s="7" t="s">
        <v>29</v>
      </c>
      <c r="C377" s="12" t="s">
        <v>110</v>
      </c>
      <c r="D377" s="7" t="s">
        <v>32</v>
      </c>
      <c r="E377" s="7" t="s">
        <v>32</v>
      </c>
      <c r="F377" s="12" t="n">
        <f aca="false">IF(D377=E377,1,0)</f>
        <v>1</v>
      </c>
      <c r="G377" s="13" t="n">
        <v>-0.0385542168674698</v>
      </c>
      <c r="H377" s="14" t="n">
        <v>0.336362691316714</v>
      </c>
      <c r="I377" s="14" t="n">
        <v>0.334646463586684</v>
      </c>
      <c r="J377" s="14" t="n">
        <v>0.328990845096602</v>
      </c>
      <c r="K377" s="12" t="s">
        <v>108</v>
      </c>
      <c r="L377" s="15" t="n">
        <v>1220</v>
      </c>
      <c r="M377" s="15" t="n">
        <v>1</v>
      </c>
    </row>
    <row r="378" customFormat="false" ht="15" hidden="false" customHeight="false" outlineLevel="0" collapsed="false">
      <c r="A378" s="12" t="s">
        <v>34</v>
      </c>
      <c r="B378" s="7" t="s">
        <v>35</v>
      </c>
      <c r="C378" s="12" t="s">
        <v>110</v>
      </c>
      <c r="D378" s="7" t="s">
        <v>40</v>
      </c>
      <c r="E378" s="7" t="s">
        <v>31</v>
      </c>
      <c r="F378" s="12" t="n">
        <f aca="false">IF(D378=E378,1,0)</f>
        <v>0</v>
      </c>
      <c r="G378" s="13" t="n">
        <v>0.0062370062370062</v>
      </c>
      <c r="H378" s="14" t="n">
        <v>0.326012053744258</v>
      </c>
      <c r="I378" s="14" t="n">
        <v>0.338147037295785</v>
      </c>
      <c r="J378" s="14" t="n">
        <v>0.335840908959957</v>
      </c>
      <c r="K378" s="12" t="s">
        <v>108</v>
      </c>
      <c r="L378" s="15" t="n">
        <v>1220</v>
      </c>
      <c r="M378" s="15" t="n">
        <v>1</v>
      </c>
    </row>
    <row r="379" customFormat="false" ht="15" hidden="false" customHeight="false" outlineLevel="0" collapsed="false">
      <c r="A379" s="12" t="s">
        <v>36</v>
      </c>
      <c r="B379" s="7" t="s">
        <v>37</v>
      </c>
      <c r="C379" s="12" t="s">
        <v>110</v>
      </c>
      <c r="D379" s="7" t="s">
        <v>31</v>
      </c>
      <c r="E379" s="7" t="s">
        <v>31</v>
      </c>
      <c r="F379" s="12" t="n">
        <f aca="false">IF(D379=E379,1,0)</f>
        <v>1</v>
      </c>
      <c r="G379" s="13" t="n">
        <v>0.0061349693251533</v>
      </c>
      <c r="H379" s="14" t="n">
        <v>0.329163556232214</v>
      </c>
      <c r="I379" s="14" t="n">
        <v>0.326046093758377</v>
      </c>
      <c r="J379" s="14" t="n">
        <v>0.344790350009409</v>
      </c>
      <c r="K379" s="12" t="s">
        <v>108</v>
      </c>
      <c r="L379" s="15" t="n">
        <v>1220</v>
      </c>
      <c r="M379" s="15" t="n">
        <v>1</v>
      </c>
    </row>
    <row r="380" customFormat="false" ht="15" hidden="false" customHeight="false" outlineLevel="0" collapsed="false">
      <c r="A380" s="12" t="s">
        <v>38</v>
      </c>
      <c r="B380" s="7" t="s">
        <v>39</v>
      </c>
      <c r="C380" s="12" t="s">
        <v>110</v>
      </c>
      <c r="D380" s="7" t="s">
        <v>31</v>
      </c>
      <c r="E380" s="7" t="s">
        <v>32</v>
      </c>
      <c r="F380" s="12" t="n">
        <f aca="false">IF(D380=E380,1,0)</f>
        <v>0</v>
      </c>
      <c r="G380" s="13" t="n">
        <v>-0.0166865315852204</v>
      </c>
      <c r="H380" s="14" t="n">
        <v>0.332043584439848</v>
      </c>
      <c r="I380" s="14" t="n">
        <v>0.328898845617548</v>
      </c>
      <c r="J380" s="14" t="n">
        <v>0.339057569942604</v>
      </c>
      <c r="K380" s="12" t="s">
        <v>108</v>
      </c>
      <c r="L380" s="15" t="n">
        <v>1220</v>
      </c>
      <c r="M380" s="15" t="n">
        <v>1</v>
      </c>
    </row>
    <row r="381" customFormat="false" ht="15" hidden="false" customHeight="false" outlineLevel="0" collapsed="false">
      <c r="A381" s="12" t="s">
        <v>41</v>
      </c>
      <c r="B381" s="7" t="s">
        <v>42</v>
      </c>
      <c r="C381" s="12" t="s">
        <v>110</v>
      </c>
      <c r="D381" s="7" t="s">
        <v>32</v>
      </c>
      <c r="E381" s="7" t="s">
        <v>40</v>
      </c>
      <c r="F381" s="12" t="n">
        <f aca="false">IF(D381=E381,1,0)</f>
        <v>0</v>
      </c>
      <c r="G381" s="13" t="n">
        <v>0.0025641025641025</v>
      </c>
      <c r="H381" s="14" t="n">
        <v>0.337867194585632</v>
      </c>
      <c r="I381" s="14" t="n">
        <v>0.33167043028584</v>
      </c>
      <c r="J381" s="14" t="n">
        <v>0.330462375128528</v>
      </c>
      <c r="K381" s="12" t="s">
        <v>108</v>
      </c>
      <c r="L381" s="15" t="n">
        <v>1220</v>
      </c>
      <c r="M381" s="15" t="n">
        <v>1</v>
      </c>
    </row>
    <row r="382" customFormat="false" ht="15" hidden="false" customHeight="false" outlineLevel="0" collapsed="false">
      <c r="A382" s="12" t="s">
        <v>43</v>
      </c>
      <c r="B382" s="7" t="s">
        <v>44</v>
      </c>
      <c r="C382" s="12" t="s">
        <v>110</v>
      </c>
      <c r="D382" s="7" t="s">
        <v>31</v>
      </c>
      <c r="E382" s="7" t="s">
        <v>40</v>
      </c>
      <c r="F382" s="12" t="n">
        <f aca="false">IF(D382=E382,1,0)</f>
        <v>0</v>
      </c>
      <c r="G382" s="13" t="n">
        <v>-0.002136752136752</v>
      </c>
      <c r="H382" s="14" t="n">
        <v>0.330397471886865</v>
      </c>
      <c r="I382" s="14" t="n">
        <v>0.332229140260571</v>
      </c>
      <c r="J382" s="14" t="n">
        <v>0.337373387852564</v>
      </c>
      <c r="K382" s="12" t="s">
        <v>108</v>
      </c>
      <c r="L382" s="15" t="n">
        <v>1220</v>
      </c>
      <c r="M382" s="15" t="n">
        <v>1</v>
      </c>
    </row>
    <row r="383" customFormat="false" ht="15" hidden="false" customHeight="false" outlineLevel="0" collapsed="false">
      <c r="A383" s="12" t="s">
        <v>28</v>
      </c>
      <c r="B383" s="7" t="s">
        <v>29</v>
      </c>
      <c r="C383" s="12" t="s">
        <v>111</v>
      </c>
      <c r="D383" s="7" t="s">
        <v>32</v>
      </c>
      <c r="E383" s="7" t="s">
        <v>32</v>
      </c>
      <c r="F383" s="12" t="n">
        <f aca="false">IF(D383=E383,1,0)</f>
        <v>1</v>
      </c>
      <c r="G383" s="13" t="n">
        <v>-0.0526315789473684</v>
      </c>
      <c r="H383" s="14" t="n">
        <v>0.336362691316714</v>
      </c>
      <c r="I383" s="14" t="n">
        <v>0.334646463586684</v>
      </c>
      <c r="J383" s="14" t="n">
        <v>0.328990845096602</v>
      </c>
      <c r="K383" s="12" t="s">
        <v>108</v>
      </c>
      <c r="L383" s="15" t="n">
        <v>1220</v>
      </c>
      <c r="M383" s="15" t="n">
        <v>1</v>
      </c>
    </row>
    <row r="384" customFormat="false" ht="15" hidden="false" customHeight="false" outlineLevel="0" collapsed="false">
      <c r="A384" s="12" t="s">
        <v>34</v>
      </c>
      <c r="B384" s="7" t="s">
        <v>35</v>
      </c>
      <c r="C384" s="12" t="s">
        <v>111</v>
      </c>
      <c r="D384" s="7" t="s">
        <v>40</v>
      </c>
      <c r="E384" s="7" t="s">
        <v>32</v>
      </c>
      <c r="F384" s="12" t="n">
        <f aca="false">IF(D384=E384,1,0)</f>
        <v>0</v>
      </c>
      <c r="G384" s="13" t="n">
        <v>-0.0206611570247934</v>
      </c>
      <c r="H384" s="14" t="n">
        <v>0.326135469521698</v>
      </c>
      <c r="I384" s="14" t="n">
        <v>0.337896484909746</v>
      </c>
      <c r="J384" s="14" t="n">
        <v>0.335968045568556</v>
      </c>
      <c r="K384" s="12" t="s">
        <v>108</v>
      </c>
      <c r="L384" s="15" t="n">
        <v>1220</v>
      </c>
      <c r="M384" s="15" t="n">
        <v>1</v>
      </c>
    </row>
    <row r="385" customFormat="false" ht="15" hidden="false" customHeight="false" outlineLevel="0" collapsed="false">
      <c r="A385" s="12" t="s">
        <v>36</v>
      </c>
      <c r="B385" s="7" t="s">
        <v>37</v>
      </c>
      <c r="C385" s="12" t="s">
        <v>111</v>
      </c>
      <c r="D385" s="7" t="s">
        <v>31</v>
      </c>
      <c r="E385" s="7" t="s">
        <v>32</v>
      </c>
      <c r="F385" s="12" t="n">
        <f aca="false">IF(D385=E385,1,0)</f>
        <v>0</v>
      </c>
      <c r="G385" s="13" t="n">
        <v>-0.008130081300813</v>
      </c>
      <c r="H385" s="14" t="n">
        <v>0.331504454902223</v>
      </c>
      <c r="I385" s="14" t="n">
        <v>0.32125316400386</v>
      </c>
      <c r="J385" s="14" t="n">
        <v>0.347242381093917</v>
      </c>
      <c r="K385" s="12" t="s">
        <v>108</v>
      </c>
      <c r="L385" s="15" t="n">
        <v>1220</v>
      </c>
      <c r="M385" s="15" t="n">
        <v>1</v>
      </c>
    </row>
    <row r="386" customFormat="false" ht="15" hidden="false" customHeight="false" outlineLevel="0" collapsed="false">
      <c r="A386" s="12" t="s">
        <v>38</v>
      </c>
      <c r="B386" s="7" t="s">
        <v>39</v>
      </c>
      <c r="C386" s="12" t="s">
        <v>111</v>
      </c>
      <c r="D386" s="7" t="s">
        <v>31</v>
      </c>
      <c r="E386" s="7" t="s">
        <v>32</v>
      </c>
      <c r="F386" s="12" t="n">
        <f aca="false">IF(D386=E386,1,0)</f>
        <v>0</v>
      </c>
      <c r="G386" s="13" t="n">
        <v>-0.023030303030303</v>
      </c>
      <c r="H386" s="14" t="n">
        <v>0.332043584439848</v>
      </c>
      <c r="I386" s="14" t="n">
        <v>0.328898845617548</v>
      </c>
      <c r="J386" s="14" t="n">
        <v>0.339057569942604</v>
      </c>
      <c r="K386" s="12" t="s">
        <v>108</v>
      </c>
      <c r="L386" s="15" t="n">
        <v>1220</v>
      </c>
      <c r="M386" s="15" t="n">
        <v>1</v>
      </c>
    </row>
    <row r="387" customFormat="false" ht="15" hidden="false" customHeight="false" outlineLevel="0" collapsed="false">
      <c r="A387" s="12" t="s">
        <v>41</v>
      </c>
      <c r="B387" s="7" t="s">
        <v>42</v>
      </c>
      <c r="C387" s="12" t="s">
        <v>111</v>
      </c>
      <c r="D387" s="7" t="s">
        <v>40</v>
      </c>
      <c r="E387" s="7" t="s">
        <v>32</v>
      </c>
      <c r="F387" s="12" t="n">
        <f aca="false">IF(D387=E387,1,0)</f>
        <v>0</v>
      </c>
      <c r="G387" s="13" t="n">
        <v>-0.0383631713554987</v>
      </c>
      <c r="H387" s="14" t="n">
        <v>0.331641284192205</v>
      </c>
      <c r="I387" s="14" t="n">
        <v>0.343985801772027</v>
      </c>
      <c r="J387" s="14" t="n">
        <v>0.324372914035768</v>
      </c>
      <c r="K387" s="12" t="s">
        <v>108</v>
      </c>
      <c r="L387" s="15" t="n">
        <v>1220</v>
      </c>
      <c r="M387" s="15" t="n">
        <v>1</v>
      </c>
    </row>
    <row r="388" customFormat="false" ht="15" hidden="false" customHeight="false" outlineLevel="0" collapsed="false">
      <c r="A388" s="12" t="s">
        <v>43</v>
      </c>
      <c r="B388" s="7" t="s">
        <v>44</v>
      </c>
      <c r="C388" s="12" t="s">
        <v>111</v>
      </c>
      <c r="D388" s="7" t="s">
        <v>31</v>
      </c>
      <c r="E388" s="7" t="s">
        <v>31</v>
      </c>
      <c r="F388" s="12" t="n">
        <f aca="false">IF(D388=E388,1,0)</f>
        <v>1</v>
      </c>
      <c r="G388" s="13" t="n">
        <v>0.0385438972162739</v>
      </c>
      <c r="H388" s="14" t="n">
        <v>0.330397471886865</v>
      </c>
      <c r="I388" s="14" t="n">
        <v>0.332229140260571</v>
      </c>
      <c r="J388" s="14" t="n">
        <v>0.337373387852564</v>
      </c>
      <c r="K388" s="12" t="s">
        <v>108</v>
      </c>
      <c r="L388" s="15" t="n">
        <v>1220</v>
      </c>
      <c r="M388" s="15" t="n">
        <v>1</v>
      </c>
    </row>
    <row r="389" customFormat="false" ht="15" hidden="false" customHeight="false" outlineLevel="0" collapsed="false">
      <c r="A389" s="12" t="s">
        <v>28</v>
      </c>
      <c r="B389" s="7" t="s">
        <v>29</v>
      </c>
      <c r="C389" s="12" t="s">
        <v>112</v>
      </c>
      <c r="D389" s="7" t="s">
        <v>40</v>
      </c>
      <c r="E389" s="7" t="s">
        <v>40</v>
      </c>
      <c r="F389" s="12" t="n">
        <f aca="false">IF(D389=E389,1,0)</f>
        <v>1</v>
      </c>
      <c r="G389" s="13" t="n">
        <v>-0.0026455026455026</v>
      </c>
      <c r="H389" s="14" t="n">
        <v>0.331768999626095</v>
      </c>
      <c r="I389" s="14" t="n">
        <v>0.343733169961822</v>
      </c>
      <c r="J389" s="14" t="n">
        <v>0.324497830412084</v>
      </c>
      <c r="K389" s="12" t="s">
        <v>108</v>
      </c>
      <c r="L389" s="15" t="n">
        <v>1220</v>
      </c>
      <c r="M389" s="15" t="n">
        <v>1</v>
      </c>
    </row>
    <row r="390" customFormat="false" ht="15" hidden="false" customHeight="false" outlineLevel="0" collapsed="false">
      <c r="A390" s="12" t="s">
        <v>34</v>
      </c>
      <c r="B390" s="7" t="s">
        <v>35</v>
      </c>
      <c r="C390" s="12" t="s">
        <v>112</v>
      </c>
      <c r="D390" s="7" t="s">
        <v>40</v>
      </c>
      <c r="E390" s="7" t="s">
        <v>40</v>
      </c>
      <c r="F390" s="12" t="n">
        <f aca="false">IF(D390=E390,1,0)</f>
        <v>1</v>
      </c>
      <c r="G390" s="13" t="n">
        <v>0.0021097046413502</v>
      </c>
      <c r="H390" s="14" t="n">
        <v>0.326135469521698</v>
      </c>
      <c r="I390" s="14" t="n">
        <v>0.337896484909746</v>
      </c>
      <c r="J390" s="14" t="n">
        <v>0.335968045568556</v>
      </c>
      <c r="K390" s="12" t="s">
        <v>108</v>
      </c>
      <c r="L390" s="15" t="n">
        <v>1220</v>
      </c>
      <c r="M390" s="15" t="n">
        <v>1</v>
      </c>
    </row>
    <row r="391" customFormat="false" ht="15" hidden="false" customHeight="false" outlineLevel="0" collapsed="false">
      <c r="A391" s="12" t="s">
        <v>36</v>
      </c>
      <c r="B391" s="7" t="s">
        <v>37</v>
      </c>
      <c r="C391" s="12" t="s">
        <v>112</v>
      </c>
      <c r="D391" s="7" t="s">
        <v>31</v>
      </c>
      <c r="E391" s="7" t="s">
        <v>31</v>
      </c>
      <c r="F391" s="12" t="n">
        <f aca="false">IF(D391=E391,1,0)</f>
        <v>1</v>
      </c>
      <c r="G391" s="13" t="n">
        <v>0.0102459016393443</v>
      </c>
      <c r="H391" s="14" t="n">
        <v>0.33650523263013</v>
      </c>
      <c r="I391" s="14" t="n">
        <v>0.326099299987294</v>
      </c>
      <c r="J391" s="14" t="n">
        <v>0.337395467382576</v>
      </c>
      <c r="K391" s="12" t="s">
        <v>108</v>
      </c>
      <c r="L391" s="15" t="n">
        <v>1220</v>
      </c>
      <c r="M391" s="15" t="n">
        <v>1</v>
      </c>
    </row>
    <row r="392" customFormat="false" ht="15" hidden="false" customHeight="false" outlineLevel="0" collapsed="false">
      <c r="A392" s="12" t="s">
        <v>38</v>
      </c>
      <c r="B392" s="7" t="s">
        <v>39</v>
      </c>
      <c r="C392" s="12" t="s">
        <v>112</v>
      </c>
      <c r="D392" s="7" t="s">
        <v>31</v>
      </c>
      <c r="E392" s="7" t="s">
        <v>32</v>
      </c>
      <c r="F392" s="12" t="n">
        <f aca="false">IF(D392=E392,1,0)</f>
        <v>0</v>
      </c>
      <c r="G392" s="13" t="n">
        <v>-0.0086848635235732</v>
      </c>
      <c r="H392" s="14" t="n">
        <v>0.334425774096393</v>
      </c>
      <c r="I392" s="14" t="n">
        <v>0.324084145670364</v>
      </c>
      <c r="J392" s="14" t="n">
        <v>0.341490080233243</v>
      </c>
      <c r="K392" s="12" t="s">
        <v>108</v>
      </c>
      <c r="L392" s="15" t="n">
        <v>1220</v>
      </c>
      <c r="M392" s="15" t="n">
        <v>1</v>
      </c>
    </row>
    <row r="393" customFormat="false" ht="15" hidden="false" customHeight="false" outlineLevel="0" collapsed="false">
      <c r="A393" s="12" t="s">
        <v>41</v>
      </c>
      <c r="B393" s="7" t="s">
        <v>42</v>
      </c>
      <c r="C393" s="12" t="s">
        <v>112</v>
      </c>
      <c r="D393" s="7" t="s">
        <v>32</v>
      </c>
      <c r="E393" s="7" t="s">
        <v>31</v>
      </c>
      <c r="F393" s="12" t="n">
        <f aca="false">IF(D393=E393,1,0)</f>
        <v>0</v>
      </c>
      <c r="G393" s="13" t="n">
        <v>0.0425531914893617</v>
      </c>
      <c r="H393" s="14" t="n">
        <v>0.337867194585632</v>
      </c>
      <c r="I393" s="14" t="n">
        <v>0.33167043028584</v>
      </c>
      <c r="J393" s="14" t="n">
        <v>0.330462375128528</v>
      </c>
      <c r="K393" s="12" t="s">
        <v>108</v>
      </c>
      <c r="L393" s="15" t="n">
        <v>1220</v>
      </c>
      <c r="M393" s="15" t="n">
        <v>1</v>
      </c>
    </row>
    <row r="394" customFormat="false" ht="15" hidden="false" customHeight="false" outlineLevel="0" collapsed="false">
      <c r="A394" s="12" t="s">
        <v>43</v>
      </c>
      <c r="B394" s="7" t="s">
        <v>44</v>
      </c>
      <c r="C394" s="12" t="s">
        <v>112</v>
      </c>
      <c r="D394" s="7" t="s">
        <v>31</v>
      </c>
      <c r="E394" s="7" t="s">
        <v>31</v>
      </c>
      <c r="F394" s="12" t="n">
        <f aca="false">IF(D394=E394,1,0)</f>
        <v>1</v>
      </c>
      <c r="G394" s="13" t="n">
        <v>0.0103092783505154</v>
      </c>
      <c r="H394" s="14" t="n">
        <v>0.334425774096393</v>
      </c>
      <c r="I394" s="14" t="n">
        <v>0.324084145670364</v>
      </c>
      <c r="J394" s="14" t="n">
        <v>0.341490080233243</v>
      </c>
      <c r="K394" s="12" t="s">
        <v>108</v>
      </c>
      <c r="L394" s="15" t="n">
        <v>1220</v>
      </c>
      <c r="M394" s="15" t="n">
        <v>1</v>
      </c>
    </row>
    <row r="395" customFormat="false" ht="15" hidden="false" customHeight="false" outlineLevel="0" collapsed="false">
      <c r="A395" s="12" t="s">
        <v>28</v>
      </c>
      <c r="B395" s="7" t="s">
        <v>29</v>
      </c>
      <c r="C395" s="12" t="s">
        <v>113</v>
      </c>
      <c r="D395" s="7" t="s">
        <v>40</v>
      </c>
      <c r="E395" s="7" t="s">
        <v>40</v>
      </c>
      <c r="F395" s="12" t="n">
        <f aca="false">IF(D395=E395,1,0)</f>
        <v>1</v>
      </c>
      <c r="G395" s="13" t="n">
        <v>-0.0026525198938992</v>
      </c>
      <c r="H395" s="14" t="n">
        <v>0.331768999626095</v>
      </c>
      <c r="I395" s="14" t="n">
        <v>0.343733169961822</v>
      </c>
      <c r="J395" s="14" t="n">
        <v>0.324497830412084</v>
      </c>
      <c r="K395" s="12" t="s">
        <v>108</v>
      </c>
      <c r="L395" s="15" t="n">
        <v>1220</v>
      </c>
      <c r="M395" s="15" t="n">
        <v>1</v>
      </c>
    </row>
    <row r="396" customFormat="false" ht="15" hidden="false" customHeight="false" outlineLevel="0" collapsed="false">
      <c r="A396" s="12" t="s">
        <v>34</v>
      </c>
      <c r="B396" s="7" t="s">
        <v>35</v>
      </c>
      <c r="C396" s="12" t="s">
        <v>113</v>
      </c>
      <c r="D396" s="7" t="s">
        <v>40</v>
      </c>
      <c r="E396" s="7" t="s">
        <v>40</v>
      </c>
      <c r="F396" s="12" t="n">
        <f aca="false">IF(D396=E396,1,0)</f>
        <v>1</v>
      </c>
      <c r="G396" s="13" t="n">
        <v>0</v>
      </c>
      <c r="H396" s="14" t="n">
        <v>0.326135469521698</v>
      </c>
      <c r="I396" s="14" t="n">
        <v>0.337896484909746</v>
      </c>
      <c r="J396" s="14" t="n">
        <v>0.335968045568556</v>
      </c>
      <c r="K396" s="12" t="s">
        <v>108</v>
      </c>
      <c r="L396" s="15" t="n">
        <v>1220</v>
      </c>
      <c r="M396" s="15" t="n">
        <v>1</v>
      </c>
    </row>
    <row r="397" customFormat="false" ht="15" hidden="false" customHeight="false" outlineLevel="0" collapsed="false">
      <c r="A397" s="12" t="s">
        <v>36</v>
      </c>
      <c r="B397" s="7" t="s">
        <v>37</v>
      </c>
      <c r="C397" s="12" t="s">
        <v>113</v>
      </c>
      <c r="D397" s="7" t="s">
        <v>31</v>
      </c>
      <c r="E397" s="7" t="s">
        <v>32</v>
      </c>
      <c r="F397" s="12" t="n">
        <f aca="false">IF(D397=E397,1,0)</f>
        <v>0</v>
      </c>
      <c r="G397" s="13" t="n">
        <v>-0.0202839756592292</v>
      </c>
      <c r="H397" s="14" t="n">
        <v>0.331504454902223</v>
      </c>
      <c r="I397" s="14" t="n">
        <v>0.32125316400386</v>
      </c>
      <c r="J397" s="14" t="n">
        <v>0.347242381093917</v>
      </c>
      <c r="K397" s="12" t="s">
        <v>108</v>
      </c>
      <c r="L397" s="15" t="n">
        <v>1220</v>
      </c>
      <c r="M397" s="15" t="n">
        <v>1</v>
      </c>
    </row>
    <row r="398" customFormat="false" ht="15" hidden="false" customHeight="false" outlineLevel="0" collapsed="false">
      <c r="A398" s="12" t="s">
        <v>38</v>
      </c>
      <c r="B398" s="7" t="s">
        <v>39</v>
      </c>
      <c r="C398" s="12" t="s">
        <v>113</v>
      </c>
      <c r="D398" s="7" t="s">
        <v>32</v>
      </c>
      <c r="E398" s="7" t="s">
        <v>32</v>
      </c>
      <c r="F398" s="12" t="n">
        <f aca="false">IF(D398=E398,1,0)</f>
        <v>1</v>
      </c>
      <c r="G398" s="13" t="n">
        <v>-0.0175219023779724</v>
      </c>
      <c r="H398" s="14" t="n">
        <v>0.338620539083835</v>
      </c>
      <c r="I398" s="14" t="n">
        <v>0.328149193679645</v>
      </c>
      <c r="J398" s="14" t="n">
        <v>0.33323026723652</v>
      </c>
      <c r="K398" s="12" t="s">
        <v>108</v>
      </c>
      <c r="L398" s="15" t="n">
        <v>1220</v>
      </c>
      <c r="M398" s="15" t="n">
        <v>1</v>
      </c>
    </row>
    <row r="399" customFormat="false" ht="15" hidden="false" customHeight="false" outlineLevel="0" collapsed="false">
      <c r="A399" s="12" t="s">
        <v>41</v>
      </c>
      <c r="B399" s="7" t="s">
        <v>42</v>
      </c>
      <c r="C399" s="12" t="s">
        <v>113</v>
      </c>
      <c r="D399" s="7" t="s">
        <v>32</v>
      </c>
      <c r="E399" s="7" t="s">
        <v>32</v>
      </c>
      <c r="F399" s="12" t="n">
        <f aca="false">IF(D399=E399,1,0)</f>
        <v>1</v>
      </c>
      <c r="G399" s="13" t="n">
        <v>-0.0076530612244898</v>
      </c>
      <c r="H399" s="14" t="n">
        <v>0.336362691316714</v>
      </c>
      <c r="I399" s="14" t="n">
        <v>0.334646463586684</v>
      </c>
      <c r="J399" s="14" t="n">
        <v>0.328990845096602</v>
      </c>
      <c r="K399" s="12" t="s">
        <v>108</v>
      </c>
      <c r="L399" s="15" t="n">
        <v>1220</v>
      </c>
      <c r="M399" s="15" t="n">
        <v>1</v>
      </c>
    </row>
    <row r="400" customFormat="false" ht="15" hidden="false" customHeight="false" outlineLevel="0" collapsed="false">
      <c r="A400" s="12" t="s">
        <v>43</v>
      </c>
      <c r="B400" s="7" t="s">
        <v>44</v>
      </c>
      <c r="C400" s="12" t="s">
        <v>113</v>
      </c>
      <c r="D400" s="7" t="s">
        <v>31</v>
      </c>
      <c r="E400" s="7" t="s">
        <v>32</v>
      </c>
      <c r="F400" s="12" t="n">
        <f aca="false">IF(D400=E400,1,0)</f>
        <v>0</v>
      </c>
      <c r="G400" s="13" t="n">
        <v>-0.0173469387755101</v>
      </c>
      <c r="H400" s="14" t="n">
        <v>0.334425774096393</v>
      </c>
      <c r="I400" s="14" t="n">
        <v>0.324084145670364</v>
      </c>
      <c r="J400" s="14" t="n">
        <v>0.341490080233243</v>
      </c>
      <c r="K400" s="12" t="s">
        <v>108</v>
      </c>
      <c r="L400" s="15" t="n">
        <v>1220</v>
      </c>
      <c r="M400" s="15" t="n">
        <v>1</v>
      </c>
    </row>
    <row r="401" customFormat="false" ht="15" hidden="false" customHeight="false" outlineLevel="0" collapsed="false">
      <c r="A401" s="12" t="s">
        <v>28</v>
      </c>
      <c r="B401" s="7" t="s">
        <v>29</v>
      </c>
      <c r="C401" s="12" t="s">
        <v>114</v>
      </c>
      <c r="D401" s="7" t="s">
        <v>40</v>
      </c>
      <c r="E401" s="7" t="s">
        <v>31</v>
      </c>
      <c r="F401" s="12" t="n">
        <f aca="false">IF(D401=E401,1,0)</f>
        <v>0</v>
      </c>
      <c r="G401" s="13" t="n">
        <v>0.0053191489361701</v>
      </c>
      <c r="H401" s="14" t="n">
        <v>0.331768999626095</v>
      </c>
      <c r="I401" s="14" t="n">
        <v>0.343733169961822</v>
      </c>
      <c r="J401" s="14" t="n">
        <v>0.324497830412084</v>
      </c>
      <c r="K401" s="12" t="s">
        <v>108</v>
      </c>
      <c r="L401" s="15" t="n">
        <v>1220</v>
      </c>
      <c r="M401" s="15" t="n">
        <v>1</v>
      </c>
    </row>
    <row r="402" customFormat="false" ht="15" hidden="false" customHeight="false" outlineLevel="0" collapsed="false">
      <c r="A402" s="12" t="s">
        <v>34</v>
      </c>
      <c r="B402" s="7" t="s">
        <v>35</v>
      </c>
      <c r="C402" s="12" t="s">
        <v>114</v>
      </c>
      <c r="D402" s="7" t="s">
        <v>40</v>
      </c>
      <c r="E402" s="7" t="s">
        <v>40</v>
      </c>
      <c r="F402" s="12" t="n">
        <f aca="false">IF(D402=E402,1,0)</f>
        <v>1</v>
      </c>
      <c r="G402" s="13" t="n">
        <v>-0.0042105263157894</v>
      </c>
      <c r="H402" s="14" t="n">
        <v>0.326135469521698</v>
      </c>
      <c r="I402" s="14" t="n">
        <v>0.337896484909746</v>
      </c>
      <c r="J402" s="14" t="n">
        <v>0.335968045568556</v>
      </c>
      <c r="K402" s="12" t="s">
        <v>108</v>
      </c>
      <c r="L402" s="15" t="n">
        <v>1220</v>
      </c>
      <c r="M402" s="15" t="n">
        <v>1</v>
      </c>
    </row>
    <row r="403" customFormat="false" ht="15" hidden="false" customHeight="false" outlineLevel="0" collapsed="false">
      <c r="A403" s="12" t="s">
        <v>36</v>
      </c>
      <c r="B403" s="7" t="s">
        <v>37</v>
      </c>
      <c r="C403" s="12" t="s">
        <v>114</v>
      </c>
      <c r="D403" s="7" t="s">
        <v>32</v>
      </c>
      <c r="E403" s="7" t="s">
        <v>31</v>
      </c>
      <c r="F403" s="12" t="n">
        <f aca="false">IF(D403=E403,1,0)</f>
        <v>0</v>
      </c>
      <c r="G403" s="13" t="n">
        <v>0.0103519668737059</v>
      </c>
      <c r="H403" s="14" t="n">
        <v>0.338620539083835</v>
      </c>
      <c r="I403" s="14" t="n">
        <v>0.328149193679645</v>
      </c>
      <c r="J403" s="14" t="n">
        <v>0.33323026723652</v>
      </c>
      <c r="K403" s="12" t="s">
        <v>108</v>
      </c>
      <c r="L403" s="15" t="n">
        <v>1220</v>
      </c>
      <c r="M403" s="15" t="n">
        <v>1</v>
      </c>
    </row>
    <row r="404" customFormat="false" ht="15" hidden="false" customHeight="false" outlineLevel="0" collapsed="false">
      <c r="A404" s="12" t="s">
        <v>38</v>
      </c>
      <c r="B404" s="7" t="s">
        <v>39</v>
      </c>
      <c r="C404" s="12" t="s">
        <v>114</v>
      </c>
      <c r="D404" s="7" t="s">
        <v>32</v>
      </c>
      <c r="E404" s="7" t="s">
        <v>32</v>
      </c>
      <c r="F404" s="12" t="n">
        <f aca="false">IF(D404=E404,1,0)</f>
        <v>1</v>
      </c>
      <c r="G404" s="13" t="n">
        <v>-0.0254777070063694</v>
      </c>
      <c r="H404" s="14" t="n">
        <v>0.338620539083835</v>
      </c>
      <c r="I404" s="14" t="n">
        <v>0.328149193679645</v>
      </c>
      <c r="J404" s="14" t="n">
        <v>0.33323026723652</v>
      </c>
      <c r="K404" s="12" t="s">
        <v>108</v>
      </c>
      <c r="L404" s="15" t="n">
        <v>1220</v>
      </c>
      <c r="M404" s="15" t="n">
        <v>1</v>
      </c>
    </row>
    <row r="405" customFormat="false" ht="15" hidden="false" customHeight="false" outlineLevel="0" collapsed="false">
      <c r="A405" s="12" t="s">
        <v>41</v>
      </c>
      <c r="B405" s="7" t="s">
        <v>42</v>
      </c>
      <c r="C405" s="12" t="s">
        <v>114</v>
      </c>
      <c r="D405" s="7" t="s">
        <v>40</v>
      </c>
      <c r="E405" s="7" t="s">
        <v>40</v>
      </c>
      <c r="F405" s="12" t="n">
        <f aca="false">IF(D405=E405,1,0)</f>
        <v>1</v>
      </c>
      <c r="G405" s="13" t="n">
        <v>0.0025706940874035</v>
      </c>
      <c r="H405" s="14" t="n">
        <v>0.331641284192205</v>
      </c>
      <c r="I405" s="14" t="n">
        <v>0.343985801772027</v>
      </c>
      <c r="J405" s="14" t="n">
        <v>0.324372914035768</v>
      </c>
      <c r="K405" s="12" t="s">
        <v>108</v>
      </c>
      <c r="L405" s="15" t="n">
        <v>1220</v>
      </c>
      <c r="M405" s="15" t="n">
        <v>1</v>
      </c>
    </row>
    <row r="406" customFormat="false" ht="15" hidden="false" customHeight="false" outlineLevel="0" collapsed="false">
      <c r="A406" s="12" t="s">
        <v>43</v>
      </c>
      <c r="B406" s="7" t="s">
        <v>44</v>
      </c>
      <c r="C406" s="12" t="s">
        <v>114</v>
      </c>
      <c r="D406" s="7" t="s">
        <v>31</v>
      </c>
      <c r="E406" s="7" t="s">
        <v>40</v>
      </c>
      <c r="F406" s="12" t="n">
        <f aca="false">IF(D406=E406,1,0)</f>
        <v>0</v>
      </c>
      <c r="G406" s="13" t="n">
        <v>0.0041536863966771</v>
      </c>
      <c r="H406" s="14" t="n">
        <v>0.332043584439848</v>
      </c>
      <c r="I406" s="14" t="n">
        <v>0.328898845617548</v>
      </c>
      <c r="J406" s="14" t="n">
        <v>0.339057569942604</v>
      </c>
      <c r="K406" s="12" t="s">
        <v>108</v>
      </c>
      <c r="L406" s="15" t="n">
        <v>1220</v>
      </c>
      <c r="M406" s="15" t="n">
        <v>1</v>
      </c>
    </row>
    <row r="407" customFormat="false" ht="15" hidden="false" customHeight="false" outlineLevel="0" collapsed="false">
      <c r="A407" s="12" t="s">
        <v>28</v>
      </c>
      <c r="B407" s="7" t="s">
        <v>29</v>
      </c>
      <c r="C407" s="12" t="s">
        <v>115</v>
      </c>
      <c r="D407" s="7" t="s">
        <v>40</v>
      </c>
      <c r="E407" s="7" t="s">
        <v>32</v>
      </c>
      <c r="F407" s="12" t="n">
        <f aca="false">IF(D407=E407,1,0)</f>
        <v>0</v>
      </c>
      <c r="G407" s="13" t="n">
        <v>-0.0185185185185184</v>
      </c>
      <c r="H407" s="14" t="n">
        <v>0.331768999626095</v>
      </c>
      <c r="I407" s="14" t="n">
        <v>0.343733169961822</v>
      </c>
      <c r="J407" s="14" t="n">
        <v>0.324497830412084</v>
      </c>
      <c r="K407" s="12" t="s">
        <v>108</v>
      </c>
      <c r="L407" s="15" t="n">
        <v>1220</v>
      </c>
      <c r="M407" s="15" t="n">
        <v>1</v>
      </c>
    </row>
    <row r="408" customFormat="false" ht="15" hidden="false" customHeight="false" outlineLevel="0" collapsed="false">
      <c r="A408" s="12" t="s">
        <v>34</v>
      </c>
      <c r="B408" s="7" t="s">
        <v>35</v>
      </c>
      <c r="C408" s="12" t="s">
        <v>115</v>
      </c>
      <c r="D408" s="7" t="s">
        <v>40</v>
      </c>
      <c r="E408" s="7" t="s">
        <v>40</v>
      </c>
      <c r="F408" s="12" t="n">
        <f aca="false">IF(D408=E408,1,0)</f>
        <v>1</v>
      </c>
      <c r="G408" s="13" t="n">
        <v>-0.0042283298097252</v>
      </c>
      <c r="H408" s="14" t="n">
        <v>0.326135469521698</v>
      </c>
      <c r="I408" s="14" t="n">
        <v>0.337896484909746</v>
      </c>
      <c r="J408" s="14" t="n">
        <v>0.335968045568556</v>
      </c>
      <c r="K408" s="12" t="s">
        <v>108</v>
      </c>
      <c r="L408" s="15" t="n">
        <v>1220</v>
      </c>
      <c r="M408" s="15" t="n">
        <v>1</v>
      </c>
    </row>
    <row r="409" customFormat="false" ht="15" hidden="false" customHeight="false" outlineLevel="0" collapsed="false">
      <c r="A409" s="12" t="s">
        <v>36</v>
      </c>
      <c r="B409" s="7" t="s">
        <v>37</v>
      </c>
      <c r="C409" s="12" t="s">
        <v>115</v>
      </c>
      <c r="D409" s="7" t="s">
        <v>32</v>
      </c>
      <c r="E409" s="7" t="s">
        <v>32</v>
      </c>
      <c r="F409" s="12" t="n">
        <f aca="false">IF(D409=E409,1,0)</f>
        <v>1</v>
      </c>
      <c r="G409" s="13" t="n">
        <v>-0.0081967213114754</v>
      </c>
      <c r="H409" s="14" t="n">
        <v>0.338620539083835</v>
      </c>
      <c r="I409" s="14" t="n">
        <v>0.328149193679645</v>
      </c>
      <c r="J409" s="14" t="n">
        <v>0.33323026723652</v>
      </c>
      <c r="K409" s="12" t="s">
        <v>108</v>
      </c>
      <c r="L409" s="15" t="n">
        <v>1220</v>
      </c>
      <c r="M409" s="15" t="n">
        <v>1</v>
      </c>
    </row>
    <row r="410" customFormat="false" ht="15" hidden="false" customHeight="false" outlineLevel="0" collapsed="false">
      <c r="A410" s="12" t="s">
        <v>38</v>
      </c>
      <c r="B410" s="7" t="s">
        <v>39</v>
      </c>
      <c r="C410" s="12" t="s">
        <v>115</v>
      </c>
      <c r="D410" s="7" t="s">
        <v>31</v>
      </c>
      <c r="E410" s="7" t="s">
        <v>32</v>
      </c>
      <c r="F410" s="12" t="n">
        <f aca="false">IF(D410=E410,1,0)</f>
        <v>0</v>
      </c>
      <c r="G410" s="13" t="n">
        <v>-0.0431372549019607</v>
      </c>
      <c r="H410" s="14" t="n">
        <v>0.330397471886865</v>
      </c>
      <c r="I410" s="14" t="n">
        <v>0.332229140260571</v>
      </c>
      <c r="J410" s="14" t="n">
        <v>0.337373387852564</v>
      </c>
      <c r="K410" s="12" t="s">
        <v>108</v>
      </c>
      <c r="L410" s="15" t="n">
        <v>1220</v>
      </c>
      <c r="M410" s="15" t="n">
        <v>1</v>
      </c>
    </row>
    <row r="411" customFormat="false" ht="15" hidden="false" customHeight="false" outlineLevel="0" collapsed="false">
      <c r="A411" s="12" t="s">
        <v>41</v>
      </c>
      <c r="B411" s="7" t="s">
        <v>42</v>
      </c>
      <c r="C411" s="12" t="s">
        <v>115</v>
      </c>
      <c r="D411" s="7" t="s">
        <v>32</v>
      </c>
      <c r="E411" s="7" t="s">
        <v>40</v>
      </c>
      <c r="F411" s="12" t="n">
        <f aca="false">IF(D411=E411,1,0)</f>
        <v>0</v>
      </c>
      <c r="G411" s="13" t="n">
        <v>-0.0025641025641025</v>
      </c>
      <c r="H411" s="14" t="n">
        <v>0.336362691316714</v>
      </c>
      <c r="I411" s="14" t="n">
        <v>0.334646463586684</v>
      </c>
      <c r="J411" s="14" t="n">
        <v>0.328990845096602</v>
      </c>
      <c r="K411" s="12" t="s">
        <v>108</v>
      </c>
      <c r="L411" s="15" t="n">
        <v>1220</v>
      </c>
      <c r="M411" s="15" t="n">
        <v>1</v>
      </c>
    </row>
    <row r="412" customFormat="false" ht="15" hidden="false" customHeight="false" outlineLevel="0" collapsed="false">
      <c r="A412" s="12" t="s">
        <v>43</v>
      </c>
      <c r="B412" s="7" t="s">
        <v>44</v>
      </c>
      <c r="C412" s="12" t="s">
        <v>115</v>
      </c>
      <c r="D412" s="7" t="s">
        <v>31</v>
      </c>
      <c r="E412" s="7" t="s">
        <v>32</v>
      </c>
      <c r="F412" s="12" t="n">
        <f aca="false">IF(D412=E412,1,0)</f>
        <v>0</v>
      </c>
      <c r="G412" s="13" t="n">
        <v>-0.0062047569803517</v>
      </c>
      <c r="H412" s="14" t="n">
        <v>0.334425774096393</v>
      </c>
      <c r="I412" s="14" t="n">
        <v>0.324084145670364</v>
      </c>
      <c r="J412" s="14" t="n">
        <v>0.341490080233243</v>
      </c>
      <c r="K412" s="12" t="s">
        <v>108</v>
      </c>
      <c r="L412" s="15" t="n">
        <v>1220</v>
      </c>
      <c r="M412" s="1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7" min="6" style="0" width="11"/>
    <col collapsed="false" customWidth="true" hidden="false" outlineLevel="0" max="10" min="8" style="0" width="9"/>
    <col collapsed="false" customWidth="true" hidden="false" outlineLevel="0" max="13" min="11" style="0" width="10"/>
  </cols>
  <sheetData>
    <row r="1" customFormat="false" ht="30.55" hidden="false" customHeight="fals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11" t="s">
        <v>22</v>
      </c>
      <c r="I1" s="11" t="s">
        <v>23</v>
      </c>
      <c r="J1" s="11" t="s">
        <v>24</v>
      </c>
      <c r="K1" s="6" t="s">
        <v>25</v>
      </c>
      <c r="L1" s="6" t="s">
        <v>26</v>
      </c>
      <c r="M1" s="6" t="s">
        <v>27</v>
      </c>
    </row>
    <row r="2" customFormat="false" ht="15" hidden="false" customHeight="false" outlineLevel="0" collapsed="false">
      <c r="A2" s="12" t="s">
        <v>28</v>
      </c>
      <c r="B2" s="7" t="s">
        <v>29</v>
      </c>
      <c r="C2" s="12" t="s">
        <v>30</v>
      </c>
      <c r="D2" s="7" t="s">
        <v>31</v>
      </c>
      <c r="E2" s="7" t="s">
        <v>31</v>
      </c>
      <c r="F2" s="12" t="n">
        <f aca="false">IF(D2=E2,1,0)</f>
        <v>1</v>
      </c>
      <c r="G2" s="13" t="n">
        <v>0.176271186440678</v>
      </c>
      <c r="H2" s="14" t="n">
        <v>0.214729852786802</v>
      </c>
      <c r="I2" s="14" t="n">
        <v>0.145267717735936</v>
      </c>
      <c r="J2" s="14" t="n">
        <v>0.640002429477262</v>
      </c>
      <c r="K2" s="12" t="s">
        <v>33</v>
      </c>
      <c r="L2" s="15" t="n">
        <v>833</v>
      </c>
      <c r="M2" s="15" t="n">
        <v>50</v>
      </c>
    </row>
    <row r="3" customFormat="false" ht="15" hidden="false" customHeight="false" outlineLevel="0" collapsed="false">
      <c r="A3" s="12" t="s">
        <v>34</v>
      </c>
      <c r="B3" s="7" t="s">
        <v>35</v>
      </c>
      <c r="C3" s="12" t="s">
        <v>30</v>
      </c>
      <c r="D3" s="7" t="s">
        <v>31</v>
      </c>
      <c r="E3" s="7" t="s">
        <v>31</v>
      </c>
      <c r="F3" s="12" t="n">
        <f aca="false">IF(D3=E3,1,0)</f>
        <v>1</v>
      </c>
      <c r="G3" s="13" t="n">
        <v>0.0177664974619289</v>
      </c>
      <c r="H3" s="14" t="n">
        <v>0.172612491028467</v>
      </c>
      <c r="I3" s="14" t="n">
        <v>0.292145832014437</v>
      </c>
      <c r="J3" s="14" t="n">
        <v>0.535241676957096</v>
      </c>
      <c r="K3" s="12" t="s">
        <v>33</v>
      </c>
      <c r="L3" s="15" t="n">
        <v>833</v>
      </c>
      <c r="M3" s="15" t="n">
        <v>50</v>
      </c>
    </row>
    <row r="4" customFormat="false" ht="15" hidden="false" customHeight="false" outlineLevel="0" collapsed="false">
      <c r="A4" s="12" t="s">
        <v>36</v>
      </c>
      <c r="B4" s="7" t="s">
        <v>37</v>
      </c>
      <c r="C4" s="12" t="s">
        <v>30</v>
      </c>
      <c r="D4" s="7" t="s">
        <v>31</v>
      </c>
      <c r="E4" s="7" t="s">
        <v>31</v>
      </c>
      <c r="F4" s="12" t="n">
        <f aca="false">IF(D4=E4,1,0)</f>
        <v>1</v>
      </c>
      <c r="G4" s="13" t="n">
        <v>0.0781671159029648</v>
      </c>
      <c r="H4" s="14" t="n">
        <v>0.296078499618248</v>
      </c>
      <c r="I4" s="14" t="n">
        <v>0.252305054641202</v>
      </c>
      <c r="J4" s="14" t="n">
        <v>0.45161644574055</v>
      </c>
      <c r="K4" s="12" t="s">
        <v>33</v>
      </c>
      <c r="L4" s="15" t="n">
        <v>833</v>
      </c>
      <c r="M4" s="15" t="n">
        <v>50</v>
      </c>
    </row>
    <row r="5" customFormat="false" ht="15" hidden="false" customHeight="false" outlineLevel="0" collapsed="false">
      <c r="A5" s="12" t="s">
        <v>38</v>
      </c>
      <c r="B5" s="7" t="s">
        <v>39</v>
      </c>
      <c r="C5" s="12" t="s">
        <v>30</v>
      </c>
      <c r="D5" s="7" t="s">
        <v>31</v>
      </c>
      <c r="E5" s="7" t="s">
        <v>31</v>
      </c>
      <c r="F5" s="12" t="n">
        <f aca="false">IF(D5=E5,1,0)</f>
        <v>1</v>
      </c>
      <c r="G5" s="13" t="n">
        <v>0.0750853242320819</v>
      </c>
      <c r="H5" s="14" t="n">
        <v>0.185339843685312</v>
      </c>
      <c r="I5" s="14" t="n">
        <v>0.201343328351653</v>
      </c>
      <c r="J5" s="14" t="n">
        <v>0.613316827963035</v>
      </c>
      <c r="K5" s="12" t="s">
        <v>33</v>
      </c>
      <c r="L5" s="15" t="n">
        <v>833</v>
      </c>
      <c r="M5" s="15" t="n">
        <v>50</v>
      </c>
    </row>
    <row r="6" customFormat="false" ht="15" hidden="false" customHeight="false" outlineLevel="0" collapsed="false">
      <c r="A6" s="12" t="s">
        <v>41</v>
      </c>
      <c r="B6" s="7" t="s">
        <v>42</v>
      </c>
      <c r="C6" s="12" t="s">
        <v>30</v>
      </c>
      <c r="D6" s="7" t="s">
        <v>32</v>
      </c>
      <c r="E6" s="7" t="s">
        <v>40</v>
      </c>
      <c r="F6" s="12" t="n">
        <f aca="false">IF(D6=E6,1,0)</f>
        <v>0</v>
      </c>
      <c r="G6" s="13" t="n">
        <v>-0.0097799511002445</v>
      </c>
      <c r="H6" s="14" t="n">
        <v>0.431117507935818</v>
      </c>
      <c r="I6" s="14" t="n">
        <v>0.237621729706485</v>
      </c>
      <c r="J6" s="14" t="n">
        <v>0.331260762357697</v>
      </c>
      <c r="K6" s="12" t="s">
        <v>33</v>
      </c>
      <c r="L6" s="15" t="n">
        <v>833</v>
      </c>
      <c r="M6" s="15" t="n">
        <v>50</v>
      </c>
    </row>
    <row r="7" customFormat="false" ht="15" hidden="false" customHeight="false" outlineLevel="0" collapsed="false">
      <c r="A7" s="12" t="s">
        <v>43</v>
      </c>
      <c r="B7" s="7" t="s">
        <v>44</v>
      </c>
      <c r="C7" s="12" t="s">
        <v>30</v>
      </c>
      <c r="D7" s="7" t="s">
        <v>32</v>
      </c>
      <c r="E7" s="7" t="s">
        <v>31</v>
      </c>
      <c r="F7" s="12" t="n">
        <f aca="false">IF(D7=E7,1,0)</f>
        <v>0</v>
      </c>
      <c r="G7" s="13" t="n">
        <v>0.0139082058414463</v>
      </c>
      <c r="H7" s="14" t="n">
        <v>0.48769872483344</v>
      </c>
      <c r="I7" s="14" t="n">
        <v>0.144499587410905</v>
      </c>
      <c r="J7" s="14" t="n">
        <v>0.367801687755655</v>
      </c>
      <c r="K7" s="12" t="s">
        <v>33</v>
      </c>
      <c r="L7" s="15" t="n">
        <v>833</v>
      </c>
      <c r="M7" s="15" t="n">
        <v>50</v>
      </c>
    </row>
    <row r="8" customFormat="false" ht="15" hidden="false" customHeight="false" outlineLevel="0" collapsed="false">
      <c r="A8" s="12" t="s">
        <v>28</v>
      </c>
      <c r="B8" s="7" t="s">
        <v>29</v>
      </c>
      <c r="C8" s="12" t="s">
        <v>45</v>
      </c>
      <c r="D8" s="7" t="s">
        <v>31</v>
      </c>
      <c r="E8" s="7" t="s">
        <v>31</v>
      </c>
      <c r="F8" s="12" t="n">
        <f aca="false">IF(D8=E8,1,0)</f>
        <v>1</v>
      </c>
      <c r="G8" s="13" t="n">
        <v>0.216783216783217</v>
      </c>
      <c r="H8" s="14" t="n">
        <v>0.177346900536645</v>
      </c>
      <c r="I8" s="14" t="n">
        <v>0.215386374276672</v>
      </c>
      <c r="J8" s="14" t="n">
        <v>0.607266725186683</v>
      </c>
      <c r="K8" s="12" t="s">
        <v>33</v>
      </c>
      <c r="L8" s="15" t="n">
        <v>833</v>
      </c>
      <c r="M8" s="15" t="n">
        <v>50</v>
      </c>
    </row>
    <row r="9" customFormat="false" ht="15" hidden="false" customHeight="false" outlineLevel="0" collapsed="false">
      <c r="A9" s="12" t="s">
        <v>34</v>
      </c>
      <c r="B9" s="7" t="s">
        <v>35</v>
      </c>
      <c r="C9" s="12" t="s">
        <v>45</v>
      </c>
      <c r="D9" s="7" t="s">
        <v>31</v>
      </c>
      <c r="E9" s="7" t="s">
        <v>31</v>
      </c>
      <c r="F9" s="12" t="n">
        <f aca="false">IF(D9=E9,1,0)</f>
        <v>1</v>
      </c>
      <c r="G9" s="13" t="n">
        <v>0.0362694300518133</v>
      </c>
      <c r="H9" s="14" t="n">
        <v>0.147047904009866</v>
      </c>
      <c r="I9" s="14" t="n">
        <v>0.239182125402558</v>
      </c>
      <c r="J9" s="14" t="n">
        <v>0.613769970587576</v>
      </c>
      <c r="K9" s="12" t="s">
        <v>33</v>
      </c>
      <c r="L9" s="15" t="n">
        <v>833</v>
      </c>
      <c r="M9" s="15" t="n">
        <v>50</v>
      </c>
    </row>
    <row r="10" customFormat="false" ht="15" hidden="false" customHeight="false" outlineLevel="0" collapsed="false">
      <c r="A10" s="12" t="s">
        <v>36</v>
      </c>
      <c r="B10" s="7" t="s">
        <v>37</v>
      </c>
      <c r="C10" s="12" t="s">
        <v>45</v>
      </c>
      <c r="D10" s="7" t="s">
        <v>31</v>
      </c>
      <c r="E10" s="7" t="s">
        <v>31</v>
      </c>
      <c r="F10" s="12" t="n">
        <f aca="false">IF(D10=E10,1,0)</f>
        <v>1</v>
      </c>
      <c r="G10" s="13" t="n">
        <v>0.0994475138121546</v>
      </c>
      <c r="H10" s="14" t="n">
        <v>0.264964223776162</v>
      </c>
      <c r="I10" s="14" t="n">
        <v>0.344518927591376</v>
      </c>
      <c r="J10" s="14" t="n">
        <v>0.390516848632462</v>
      </c>
      <c r="K10" s="12" t="s">
        <v>33</v>
      </c>
      <c r="L10" s="15" t="n">
        <v>833</v>
      </c>
      <c r="M10" s="15" t="n">
        <v>50</v>
      </c>
    </row>
    <row r="11" customFormat="false" ht="15" hidden="false" customHeight="false" outlineLevel="0" collapsed="false">
      <c r="A11" s="12" t="s">
        <v>38</v>
      </c>
      <c r="B11" s="7" t="s">
        <v>39</v>
      </c>
      <c r="C11" s="12" t="s">
        <v>45</v>
      </c>
      <c r="D11" s="7" t="s">
        <v>31</v>
      </c>
      <c r="E11" s="7" t="s">
        <v>31</v>
      </c>
      <c r="F11" s="12" t="n">
        <f aca="false">IF(D11=E11,1,0)</f>
        <v>1</v>
      </c>
      <c r="G11" s="13" t="n">
        <v>0.10580204778157</v>
      </c>
      <c r="H11" s="14" t="n">
        <v>0.176754561835545</v>
      </c>
      <c r="I11" s="14" t="n">
        <v>0.200246831102077</v>
      </c>
      <c r="J11" s="14" t="n">
        <v>0.622998607062378</v>
      </c>
      <c r="K11" s="12" t="s">
        <v>33</v>
      </c>
      <c r="L11" s="15" t="n">
        <v>833</v>
      </c>
      <c r="M11" s="15" t="n">
        <v>50</v>
      </c>
    </row>
    <row r="12" customFormat="false" ht="15" hidden="false" customHeight="false" outlineLevel="0" collapsed="false">
      <c r="A12" s="12" t="s">
        <v>41</v>
      </c>
      <c r="B12" s="7" t="s">
        <v>42</v>
      </c>
      <c r="C12" s="12" t="s">
        <v>45</v>
      </c>
      <c r="D12" s="7" t="s">
        <v>32</v>
      </c>
      <c r="E12" s="7" t="s">
        <v>32</v>
      </c>
      <c r="F12" s="12" t="n">
        <f aca="false">IF(D12=E12,1,0)</f>
        <v>1</v>
      </c>
      <c r="G12" s="13" t="n">
        <v>-0.0123456790123457</v>
      </c>
      <c r="H12" s="14" t="n">
        <v>0.399576667513482</v>
      </c>
      <c r="I12" s="14" t="n">
        <v>0.328184225671639</v>
      </c>
      <c r="J12" s="14" t="n">
        <v>0.272239106814878</v>
      </c>
      <c r="K12" s="12" t="s">
        <v>33</v>
      </c>
      <c r="L12" s="15" t="n">
        <v>833</v>
      </c>
      <c r="M12" s="15" t="n">
        <v>50</v>
      </c>
    </row>
    <row r="13" customFormat="false" ht="15" hidden="false" customHeight="false" outlineLevel="0" collapsed="false">
      <c r="A13" s="12" t="s">
        <v>43</v>
      </c>
      <c r="B13" s="7" t="s">
        <v>44</v>
      </c>
      <c r="C13" s="12" t="s">
        <v>45</v>
      </c>
      <c r="D13" s="7" t="s">
        <v>32</v>
      </c>
      <c r="E13" s="7" t="s">
        <v>40</v>
      </c>
      <c r="F13" s="12" t="n">
        <f aca="false">IF(D13=E13,1,0)</f>
        <v>0</v>
      </c>
      <c r="G13" s="13" t="n">
        <v>0.0027855153203342</v>
      </c>
      <c r="H13" s="14" t="n">
        <v>0.542321112517274</v>
      </c>
      <c r="I13" s="14" t="n">
        <v>0.205541600950134</v>
      </c>
      <c r="J13" s="14" t="n">
        <v>0.252137286532592</v>
      </c>
      <c r="K13" s="12" t="s">
        <v>33</v>
      </c>
      <c r="L13" s="15" t="n">
        <v>833</v>
      </c>
      <c r="M13" s="15" t="n">
        <v>50</v>
      </c>
    </row>
    <row r="14" customFormat="false" ht="15" hidden="false" customHeight="false" outlineLevel="0" collapsed="false">
      <c r="A14" s="12" t="s">
        <v>28</v>
      </c>
      <c r="B14" s="7" t="s">
        <v>29</v>
      </c>
      <c r="C14" s="12" t="s">
        <v>46</v>
      </c>
      <c r="D14" s="7" t="s">
        <v>31</v>
      </c>
      <c r="E14" s="7" t="s">
        <v>31</v>
      </c>
      <c r="F14" s="12" t="n">
        <f aca="false">IF(D14=E14,1,0)</f>
        <v>1</v>
      </c>
      <c r="G14" s="13" t="n">
        <v>0.155115511551155</v>
      </c>
      <c r="H14" s="14" t="n">
        <v>0.250861546541567</v>
      </c>
      <c r="I14" s="14" t="n">
        <v>0.161898346753174</v>
      </c>
      <c r="J14" s="14" t="n">
        <v>0.587240106705259</v>
      </c>
      <c r="K14" s="12" t="s">
        <v>33</v>
      </c>
      <c r="L14" s="15" t="n">
        <v>833</v>
      </c>
      <c r="M14" s="15" t="n">
        <v>50</v>
      </c>
    </row>
    <row r="15" customFormat="false" ht="15" hidden="false" customHeight="false" outlineLevel="0" collapsed="false">
      <c r="A15" s="12" t="s">
        <v>34</v>
      </c>
      <c r="B15" s="7" t="s">
        <v>35</v>
      </c>
      <c r="C15" s="12" t="s">
        <v>46</v>
      </c>
      <c r="D15" s="7" t="s">
        <v>31</v>
      </c>
      <c r="E15" s="7" t="s">
        <v>31</v>
      </c>
      <c r="F15" s="12" t="n">
        <f aca="false">IF(D15=E15,1,0)</f>
        <v>1</v>
      </c>
      <c r="G15" s="13" t="n">
        <v>0.0807291666666667</v>
      </c>
      <c r="H15" s="14" t="n">
        <v>0.285250936691248</v>
      </c>
      <c r="I15" s="14" t="n">
        <v>0.213190208687416</v>
      </c>
      <c r="J15" s="14" t="n">
        <v>0.501558854621336</v>
      </c>
      <c r="K15" s="12" t="s">
        <v>33</v>
      </c>
      <c r="L15" s="15" t="n">
        <v>833</v>
      </c>
      <c r="M15" s="15" t="n">
        <v>50</v>
      </c>
    </row>
    <row r="16" customFormat="false" ht="15" hidden="false" customHeight="false" outlineLevel="0" collapsed="false">
      <c r="A16" s="12" t="s">
        <v>36</v>
      </c>
      <c r="B16" s="7" t="s">
        <v>37</v>
      </c>
      <c r="C16" s="12" t="s">
        <v>46</v>
      </c>
      <c r="D16" s="7" t="s">
        <v>31</v>
      </c>
      <c r="E16" s="7" t="s">
        <v>31</v>
      </c>
      <c r="F16" s="12" t="n">
        <f aca="false">IF(D16=E16,1,0)</f>
        <v>1</v>
      </c>
      <c r="G16" s="13" t="n">
        <v>0.104838709677419</v>
      </c>
      <c r="H16" s="14" t="n">
        <v>0.37750437104549</v>
      </c>
      <c r="I16" s="14" t="n">
        <v>0.166865712847102</v>
      </c>
      <c r="J16" s="14" t="n">
        <v>0.455629916107409</v>
      </c>
      <c r="K16" s="12" t="s">
        <v>33</v>
      </c>
      <c r="L16" s="15" t="n">
        <v>833</v>
      </c>
      <c r="M16" s="15" t="n">
        <v>50</v>
      </c>
    </row>
    <row r="17" customFormat="false" ht="15" hidden="false" customHeight="false" outlineLevel="0" collapsed="false">
      <c r="A17" s="12" t="s">
        <v>38</v>
      </c>
      <c r="B17" s="7" t="s">
        <v>39</v>
      </c>
      <c r="C17" s="12" t="s">
        <v>46</v>
      </c>
      <c r="D17" s="7" t="s">
        <v>31</v>
      </c>
      <c r="E17" s="7" t="s">
        <v>31</v>
      </c>
      <c r="F17" s="12" t="n">
        <f aca="false">IF(D17=E17,1,0)</f>
        <v>1</v>
      </c>
      <c r="G17" s="13" t="n">
        <v>0.170068027210884</v>
      </c>
      <c r="H17" s="14" t="n">
        <v>0.266924871942556</v>
      </c>
      <c r="I17" s="14" t="n">
        <v>0.286996172465349</v>
      </c>
      <c r="J17" s="14" t="n">
        <v>0.446078955592095</v>
      </c>
      <c r="K17" s="12" t="s">
        <v>33</v>
      </c>
      <c r="L17" s="15" t="n">
        <v>833</v>
      </c>
      <c r="M17" s="15" t="n">
        <v>50</v>
      </c>
    </row>
    <row r="18" customFormat="false" ht="15" hidden="false" customHeight="false" outlineLevel="0" collapsed="false">
      <c r="A18" s="12" t="s">
        <v>41</v>
      </c>
      <c r="B18" s="7" t="s">
        <v>42</v>
      </c>
      <c r="C18" s="12" t="s">
        <v>46</v>
      </c>
      <c r="D18" s="7" t="s">
        <v>32</v>
      </c>
      <c r="E18" s="7" t="s">
        <v>40</v>
      </c>
      <c r="F18" s="12" t="n">
        <f aca="false">IF(D18=E18,1,0)</f>
        <v>0</v>
      </c>
      <c r="G18" s="13" t="n">
        <v>-0.0098522167487684</v>
      </c>
      <c r="H18" s="14" t="n">
        <v>0.399423769338729</v>
      </c>
      <c r="I18" s="14" t="n">
        <v>0.299601390308302</v>
      </c>
      <c r="J18" s="14" t="n">
        <v>0.300974840352969</v>
      </c>
      <c r="K18" s="12" t="s">
        <v>33</v>
      </c>
      <c r="L18" s="15" t="n">
        <v>833</v>
      </c>
      <c r="M18" s="15" t="n">
        <v>50</v>
      </c>
    </row>
    <row r="19" customFormat="false" ht="15" hidden="false" customHeight="false" outlineLevel="0" collapsed="false">
      <c r="A19" s="12" t="s">
        <v>43</v>
      </c>
      <c r="B19" s="7" t="s">
        <v>44</v>
      </c>
      <c r="C19" s="12" t="s">
        <v>46</v>
      </c>
      <c r="D19" s="7" t="s">
        <v>32</v>
      </c>
      <c r="E19" s="7" t="s">
        <v>40</v>
      </c>
      <c r="F19" s="12" t="n">
        <f aca="false">IF(D19=E19,1,0)</f>
        <v>0</v>
      </c>
      <c r="G19" s="13" t="n">
        <v>0.011126564673157</v>
      </c>
      <c r="H19" s="14" t="n">
        <v>0.540731004215853</v>
      </c>
      <c r="I19" s="14" t="n">
        <v>0.202365309581734</v>
      </c>
      <c r="J19" s="14" t="n">
        <v>0.256903686202413</v>
      </c>
      <c r="K19" s="12" t="s">
        <v>33</v>
      </c>
      <c r="L19" s="15" t="n">
        <v>833</v>
      </c>
      <c r="M19" s="15" t="n">
        <v>50</v>
      </c>
    </row>
    <row r="20" customFormat="false" ht="15" hidden="false" customHeight="false" outlineLevel="0" collapsed="false">
      <c r="A20" s="12" t="s">
        <v>28</v>
      </c>
      <c r="B20" s="7" t="s">
        <v>29</v>
      </c>
      <c r="C20" s="12" t="s">
        <v>47</v>
      </c>
      <c r="D20" s="7" t="s">
        <v>31</v>
      </c>
      <c r="E20" s="7" t="s">
        <v>31</v>
      </c>
      <c r="F20" s="12" t="n">
        <f aca="false">IF(D20=E20,1,0)</f>
        <v>1</v>
      </c>
      <c r="G20" s="13" t="n">
        <v>0.072072072072072</v>
      </c>
      <c r="H20" s="14" t="n">
        <v>0.227609053974848</v>
      </c>
      <c r="I20" s="14" t="n">
        <v>0.171293419349678</v>
      </c>
      <c r="J20" s="14" t="n">
        <v>0.601097526675474</v>
      </c>
      <c r="K20" s="12" t="s">
        <v>33</v>
      </c>
      <c r="L20" s="15" t="n">
        <v>833</v>
      </c>
      <c r="M20" s="15" t="n">
        <v>50</v>
      </c>
    </row>
    <row r="21" customFormat="false" ht="15" hidden="false" customHeight="false" outlineLevel="0" collapsed="false">
      <c r="A21" s="12" t="s">
        <v>34</v>
      </c>
      <c r="B21" s="7" t="s">
        <v>35</v>
      </c>
      <c r="C21" s="12" t="s">
        <v>47</v>
      </c>
      <c r="D21" s="7" t="s">
        <v>31</v>
      </c>
      <c r="E21" s="7" t="s">
        <v>31</v>
      </c>
      <c r="F21" s="12" t="n">
        <f aca="false">IF(D21=E21,1,0)</f>
        <v>1</v>
      </c>
      <c r="G21" s="13" t="n">
        <v>0.0297766749379653</v>
      </c>
      <c r="H21" s="14" t="n">
        <v>0.317519425592973</v>
      </c>
      <c r="I21" s="14" t="n">
        <v>0.23616223387736</v>
      </c>
      <c r="J21" s="14" t="n">
        <v>0.446318340529668</v>
      </c>
      <c r="K21" s="12" t="s">
        <v>33</v>
      </c>
      <c r="L21" s="15" t="n">
        <v>833</v>
      </c>
      <c r="M21" s="15" t="n">
        <v>50</v>
      </c>
    </row>
    <row r="22" customFormat="false" ht="15" hidden="false" customHeight="false" outlineLevel="0" collapsed="false">
      <c r="A22" s="12" t="s">
        <v>36</v>
      </c>
      <c r="B22" s="7" t="s">
        <v>37</v>
      </c>
      <c r="C22" s="12" t="s">
        <v>47</v>
      </c>
      <c r="D22" s="7" t="s">
        <v>31</v>
      </c>
      <c r="E22" s="7" t="s">
        <v>31</v>
      </c>
      <c r="F22" s="12" t="n">
        <f aca="false">IF(D22=E22,1,0)</f>
        <v>1</v>
      </c>
      <c r="G22" s="13" t="n">
        <v>0.0666666666666666</v>
      </c>
      <c r="H22" s="14" t="n">
        <v>0.408756428456072</v>
      </c>
      <c r="I22" s="14" t="n">
        <v>0.149032208758334</v>
      </c>
      <c r="J22" s="14" t="n">
        <v>0.442211362785594</v>
      </c>
      <c r="K22" s="12" t="s">
        <v>33</v>
      </c>
      <c r="L22" s="15" t="n">
        <v>833</v>
      </c>
      <c r="M22" s="15" t="n">
        <v>50</v>
      </c>
    </row>
    <row r="23" customFormat="false" ht="15" hidden="false" customHeight="false" outlineLevel="0" collapsed="false">
      <c r="A23" s="12" t="s">
        <v>38</v>
      </c>
      <c r="B23" s="7" t="s">
        <v>39</v>
      </c>
      <c r="C23" s="12" t="s">
        <v>47</v>
      </c>
      <c r="D23" s="7" t="s">
        <v>31</v>
      </c>
      <c r="E23" s="7" t="s">
        <v>31</v>
      </c>
      <c r="F23" s="12" t="n">
        <f aca="false">IF(D23=E23,1,0)</f>
        <v>1</v>
      </c>
      <c r="G23" s="13" t="n">
        <v>0.132911392405063</v>
      </c>
      <c r="H23" s="14" t="n">
        <v>0.219125773879033</v>
      </c>
      <c r="I23" s="14" t="n">
        <v>0.270862348982917</v>
      </c>
      <c r="J23" s="14" t="n">
        <v>0.51001187713805</v>
      </c>
      <c r="K23" s="12" t="s">
        <v>33</v>
      </c>
      <c r="L23" s="15" t="n">
        <v>833</v>
      </c>
      <c r="M23" s="15" t="n">
        <v>50</v>
      </c>
    </row>
    <row r="24" customFormat="false" ht="15" hidden="false" customHeight="false" outlineLevel="0" collapsed="false">
      <c r="A24" s="12" t="s">
        <v>41</v>
      </c>
      <c r="B24" s="7" t="s">
        <v>42</v>
      </c>
      <c r="C24" s="12" t="s">
        <v>47</v>
      </c>
      <c r="D24" s="7" t="s">
        <v>32</v>
      </c>
      <c r="E24" s="7" t="s">
        <v>40</v>
      </c>
      <c r="F24" s="12" t="n">
        <f aca="false">IF(D24=E24,1,0)</f>
        <v>0</v>
      </c>
      <c r="G24" s="13" t="n">
        <v>0.0049504950495049</v>
      </c>
      <c r="H24" s="14" t="n">
        <v>0.351916432256583</v>
      </c>
      <c r="I24" s="14" t="n">
        <v>0.31240441111177</v>
      </c>
      <c r="J24" s="14" t="n">
        <v>0.335679156631647</v>
      </c>
      <c r="K24" s="12" t="s">
        <v>33</v>
      </c>
      <c r="L24" s="15" t="n">
        <v>833</v>
      </c>
      <c r="M24" s="15" t="n">
        <v>50</v>
      </c>
    </row>
    <row r="25" customFormat="false" ht="15" hidden="false" customHeight="false" outlineLevel="0" collapsed="false">
      <c r="A25" s="12" t="s">
        <v>43</v>
      </c>
      <c r="B25" s="7" t="s">
        <v>44</v>
      </c>
      <c r="C25" s="12" t="s">
        <v>47</v>
      </c>
      <c r="D25" s="7" t="s">
        <v>31</v>
      </c>
      <c r="E25" s="7" t="s">
        <v>32</v>
      </c>
      <c r="F25" s="12" t="n">
        <f aca="false">IF(D25=E25,1,0)</f>
        <v>0</v>
      </c>
      <c r="G25" s="13" t="n">
        <v>-0.0121951219512194</v>
      </c>
      <c r="H25" s="14" t="n">
        <v>0.358056864192132</v>
      </c>
      <c r="I25" s="14" t="n">
        <v>0.248384329675132</v>
      </c>
      <c r="J25" s="14" t="n">
        <v>0.393558806132736</v>
      </c>
      <c r="K25" s="12" t="s">
        <v>33</v>
      </c>
      <c r="L25" s="15" t="n">
        <v>833</v>
      </c>
      <c r="M25" s="15" t="n">
        <v>50</v>
      </c>
    </row>
    <row r="26" customFormat="false" ht="15" hidden="false" customHeight="false" outlineLevel="0" collapsed="false">
      <c r="A26" s="12" t="s">
        <v>28</v>
      </c>
      <c r="B26" s="7" t="s">
        <v>29</v>
      </c>
      <c r="C26" s="12" t="s">
        <v>48</v>
      </c>
      <c r="D26" s="7" t="s">
        <v>31</v>
      </c>
      <c r="E26" s="7" t="s">
        <v>31</v>
      </c>
      <c r="F26" s="12" t="n">
        <f aca="false">IF(D26=E26,1,0)</f>
        <v>1</v>
      </c>
      <c r="G26" s="13" t="n">
        <v>0.121580547112462</v>
      </c>
      <c r="H26" s="14" t="n">
        <v>0.241654216643523</v>
      </c>
      <c r="I26" s="14" t="n">
        <v>0.156013624029998</v>
      </c>
      <c r="J26" s="14" t="n">
        <v>0.60233215932648</v>
      </c>
      <c r="K26" s="12" t="s">
        <v>33</v>
      </c>
      <c r="L26" s="15" t="n">
        <v>833</v>
      </c>
      <c r="M26" s="15" t="n">
        <v>50</v>
      </c>
    </row>
    <row r="27" customFormat="false" ht="15" hidden="false" customHeight="false" outlineLevel="0" collapsed="false">
      <c r="A27" s="12" t="s">
        <v>34</v>
      </c>
      <c r="B27" s="7" t="s">
        <v>35</v>
      </c>
      <c r="C27" s="12" t="s">
        <v>48</v>
      </c>
      <c r="D27" s="7" t="s">
        <v>31</v>
      </c>
      <c r="E27" s="7" t="s">
        <v>31</v>
      </c>
      <c r="F27" s="12" t="n">
        <f aca="false">IF(D27=E27,1,0)</f>
        <v>1</v>
      </c>
      <c r="G27" s="13" t="n">
        <v>0.0349999999999999</v>
      </c>
      <c r="H27" s="14" t="n">
        <v>0.347033019027828</v>
      </c>
      <c r="I27" s="14" t="n">
        <v>0.255402065577068</v>
      </c>
      <c r="J27" s="14" t="n">
        <v>0.397564915395105</v>
      </c>
      <c r="K27" s="12" t="s">
        <v>33</v>
      </c>
      <c r="L27" s="15" t="n">
        <v>833</v>
      </c>
      <c r="M27" s="15" t="n">
        <v>50</v>
      </c>
    </row>
    <row r="28" customFormat="false" ht="15" hidden="false" customHeight="false" outlineLevel="0" collapsed="false">
      <c r="A28" s="12" t="s">
        <v>36</v>
      </c>
      <c r="B28" s="7" t="s">
        <v>37</v>
      </c>
      <c r="C28" s="12" t="s">
        <v>48</v>
      </c>
      <c r="D28" s="7" t="s">
        <v>31</v>
      </c>
      <c r="E28" s="7" t="s">
        <v>31</v>
      </c>
      <c r="F28" s="12" t="n">
        <f aca="false">IF(D28=E28,1,0)</f>
        <v>1</v>
      </c>
      <c r="G28" s="13" t="n">
        <v>0.0664961636828644</v>
      </c>
      <c r="H28" s="14" t="n">
        <v>0.409296595155853</v>
      </c>
      <c r="I28" s="14" t="n">
        <v>0.156170875689307</v>
      </c>
      <c r="J28" s="14" t="n">
        <v>0.434532529154841</v>
      </c>
      <c r="K28" s="12" t="s">
        <v>33</v>
      </c>
      <c r="L28" s="15" t="n">
        <v>833</v>
      </c>
      <c r="M28" s="15" t="n">
        <v>50</v>
      </c>
    </row>
    <row r="29" customFormat="false" ht="15" hidden="false" customHeight="false" outlineLevel="0" collapsed="false">
      <c r="A29" s="12" t="s">
        <v>38</v>
      </c>
      <c r="B29" s="7" t="s">
        <v>39</v>
      </c>
      <c r="C29" s="12" t="s">
        <v>48</v>
      </c>
      <c r="D29" s="7" t="s">
        <v>31</v>
      </c>
      <c r="E29" s="7" t="s">
        <v>31</v>
      </c>
      <c r="F29" s="12" t="n">
        <f aca="false">IF(D29=E29,1,0)</f>
        <v>1</v>
      </c>
      <c r="G29" s="13" t="n">
        <v>0.203174603174603</v>
      </c>
      <c r="H29" s="14" t="n">
        <v>0.240197899993504</v>
      </c>
      <c r="I29" s="14" t="n">
        <v>0.305926230905765</v>
      </c>
      <c r="J29" s="14" t="n">
        <v>0.453875869100731</v>
      </c>
      <c r="K29" s="12" t="s">
        <v>33</v>
      </c>
      <c r="L29" s="15" t="n">
        <v>833</v>
      </c>
      <c r="M29" s="15" t="n">
        <v>50</v>
      </c>
    </row>
    <row r="30" customFormat="false" ht="15" hidden="false" customHeight="false" outlineLevel="0" collapsed="false">
      <c r="A30" s="12" t="s">
        <v>41</v>
      </c>
      <c r="B30" s="7" t="s">
        <v>42</v>
      </c>
      <c r="C30" s="12" t="s">
        <v>48</v>
      </c>
      <c r="D30" s="7" t="s">
        <v>31</v>
      </c>
      <c r="E30" s="7" t="s">
        <v>40</v>
      </c>
      <c r="F30" s="12" t="n">
        <f aca="false">IF(D30=E30,1,0)</f>
        <v>0</v>
      </c>
      <c r="G30" s="13" t="n">
        <v>-0.0073891625615764</v>
      </c>
      <c r="H30" s="14" t="n">
        <v>0.238478630070707</v>
      </c>
      <c r="I30" s="14" t="n">
        <v>0.355426192681076</v>
      </c>
      <c r="J30" s="14" t="n">
        <v>0.406095177248217</v>
      </c>
      <c r="K30" s="12" t="s">
        <v>33</v>
      </c>
      <c r="L30" s="15" t="n">
        <v>833</v>
      </c>
      <c r="M30" s="15" t="n">
        <v>50</v>
      </c>
    </row>
    <row r="31" customFormat="false" ht="15" hidden="false" customHeight="false" outlineLevel="0" collapsed="false">
      <c r="A31" s="12" t="s">
        <v>43</v>
      </c>
      <c r="B31" s="7" t="s">
        <v>44</v>
      </c>
      <c r="C31" s="12" t="s">
        <v>48</v>
      </c>
      <c r="D31" s="7" t="s">
        <v>32</v>
      </c>
      <c r="E31" s="7" t="s">
        <v>40</v>
      </c>
      <c r="F31" s="12" t="n">
        <f aca="false">IF(D31=E31,1,0)</f>
        <v>0</v>
      </c>
      <c r="G31" s="13" t="n">
        <v>0.0081521739130436</v>
      </c>
      <c r="H31" s="14" t="n">
        <v>0.379001668406164</v>
      </c>
      <c r="I31" s="14" t="n">
        <v>0.25548839944638</v>
      </c>
      <c r="J31" s="14" t="n">
        <v>0.365509932147455</v>
      </c>
      <c r="K31" s="12" t="s">
        <v>33</v>
      </c>
      <c r="L31" s="15" t="n">
        <v>833</v>
      </c>
      <c r="M31" s="15" t="n">
        <v>50</v>
      </c>
    </row>
    <row r="32" customFormat="false" ht="15" hidden="false" customHeight="false" outlineLevel="0" collapsed="false">
      <c r="A32" s="12" t="s">
        <v>28</v>
      </c>
      <c r="B32" s="7" t="s">
        <v>29</v>
      </c>
      <c r="C32" s="12" t="s">
        <v>49</v>
      </c>
      <c r="D32" s="7" t="s">
        <v>31</v>
      </c>
      <c r="E32" s="7" t="s">
        <v>31</v>
      </c>
      <c r="F32" s="12" t="n">
        <f aca="false">IF(D32=E32,1,0)</f>
        <v>1</v>
      </c>
      <c r="G32" s="13" t="n">
        <v>0.0605187319884725</v>
      </c>
      <c r="H32" s="14" t="n">
        <v>0.205175517549702</v>
      </c>
      <c r="I32" s="14" t="n">
        <v>0.125350743442014</v>
      </c>
      <c r="J32" s="14" t="n">
        <v>0.669473739008284</v>
      </c>
      <c r="K32" s="12" t="s">
        <v>33</v>
      </c>
      <c r="L32" s="15" t="n">
        <v>833</v>
      </c>
      <c r="M32" s="15" t="n">
        <v>50</v>
      </c>
    </row>
    <row r="33" customFormat="false" ht="15" hidden="false" customHeight="false" outlineLevel="0" collapsed="false">
      <c r="A33" s="12" t="s">
        <v>34</v>
      </c>
      <c r="B33" s="7" t="s">
        <v>35</v>
      </c>
      <c r="C33" s="12" t="s">
        <v>49</v>
      </c>
      <c r="D33" s="7" t="s">
        <v>32</v>
      </c>
      <c r="E33" s="7" t="s">
        <v>31</v>
      </c>
      <c r="F33" s="12" t="n">
        <f aca="false">IF(D33=E33,1,0)</f>
        <v>0</v>
      </c>
      <c r="G33" s="13" t="n">
        <v>0.0274314214463839</v>
      </c>
      <c r="H33" s="14" t="n">
        <v>0.475491635029027</v>
      </c>
      <c r="I33" s="14" t="n">
        <v>0.263621063354288</v>
      </c>
      <c r="J33" s="14" t="n">
        <v>0.260887301616685</v>
      </c>
      <c r="K33" s="12" t="s">
        <v>33</v>
      </c>
      <c r="L33" s="15" t="n">
        <v>833</v>
      </c>
      <c r="M33" s="15" t="n">
        <v>50</v>
      </c>
    </row>
    <row r="34" customFormat="false" ht="15" hidden="false" customHeight="false" outlineLevel="0" collapsed="false">
      <c r="A34" s="12" t="s">
        <v>36</v>
      </c>
      <c r="B34" s="7" t="s">
        <v>37</v>
      </c>
      <c r="C34" s="12" t="s">
        <v>49</v>
      </c>
      <c r="D34" s="7" t="s">
        <v>32</v>
      </c>
      <c r="E34" s="7" t="s">
        <v>31</v>
      </c>
      <c r="F34" s="12" t="n">
        <f aca="false">IF(D34=E34,1,0)</f>
        <v>0</v>
      </c>
      <c r="G34" s="13" t="n">
        <v>0.0149999999999999</v>
      </c>
      <c r="H34" s="14" t="n">
        <v>0.57553705499634</v>
      </c>
      <c r="I34" s="14" t="n">
        <v>0.198270959589554</v>
      </c>
      <c r="J34" s="14" t="n">
        <v>0.226191985414106</v>
      </c>
      <c r="K34" s="12" t="s">
        <v>33</v>
      </c>
      <c r="L34" s="15" t="n">
        <v>833</v>
      </c>
      <c r="M34" s="15" t="n">
        <v>50</v>
      </c>
    </row>
    <row r="35" customFormat="false" ht="15" hidden="false" customHeight="false" outlineLevel="0" collapsed="false">
      <c r="A35" s="12" t="s">
        <v>38</v>
      </c>
      <c r="B35" s="7" t="s">
        <v>39</v>
      </c>
      <c r="C35" s="12" t="s">
        <v>49</v>
      </c>
      <c r="D35" s="7" t="s">
        <v>31</v>
      </c>
      <c r="E35" s="7" t="s">
        <v>31</v>
      </c>
      <c r="F35" s="12" t="n">
        <f aca="false">IF(D35=E35,1,0)</f>
        <v>1</v>
      </c>
      <c r="G35" s="13" t="n">
        <v>0.222222222222222</v>
      </c>
      <c r="H35" s="14" t="n">
        <v>0.219384249075843</v>
      </c>
      <c r="I35" s="14" t="n">
        <v>0.260057232710613</v>
      </c>
      <c r="J35" s="14" t="n">
        <v>0.520558518213545</v>
      </c>
      <c r="K35" s="12" t="s">
        <v>33</v>
      </c>
      <c r="L35" s="15" t="n">
        <v>833</v>
      </c>
      <c r="M35" s="15" t="n">
        <v>50</v>
      </c>
    </row>
    <row r="36" customFormat="false" ht="15" hidden="false" customHeight="false" outlineLevel="0" collapsed="false">
      <c r="A36" s="12" t="s">
        <v>41</v>
      </c>
      <c r="B36" s="7" t="s">
        <v>42</v>
      </c>
      <c r="C36" s="12" t="s">
        <v>49</v>
      </c>
      <c r="D36" s="7" t="s">
        <v>31</v>
      </c>
      <c r="E36" s="7" t="s">
        <v>32</v>
      </c>
      <c r="F36" s="12" t="n">
        <f aca="false">IF(D36=E36,1,0)</f>
        <v>0</v>
      </c>
      <c r="G36" s="13" t="n">
        <v>-0.0222222222222222</v>
      </c>
      <c r="H36" s="14" t="n">
        <v>0.332019886189541</v>
      </c>
      <c r="I36" s="14" t="n">
        <v>0.258409057949146</v>
      </c>
      <c r="J36" s="14" t="n">
        <v>0.409571055861314</v>
      </c>
      <c r="K36" s="12" t="s">
        <v>33</v>
      </c>
      <c r="L36" s="15" t="n">
        <v>833</v>
      </c>
      <c r="M36" s="15" t="n">
        <v>50</v>
      </c>
    </row>
    <row r="37" customFormat="false" ht="15" hidden="false" customHeight="false" outlineLevel="0" collapsed="false">
      <c r="A37" s="12" t="s">
        <v>43</v>
      </c>
      <c r="B37" s="7" t="s">
        <v>44</v>
      </c>
      <c r="C37" s="12" t="s">
        <v>49</v>
      </c>
      <c r="D37" s="7" t="s">
        <v>32</v>
      </c>
      <c r="E37" s="7" t="s">
        <v>31</v>
      </c>
      <c r="F37" s="12" t="n">
        <f aca="false">IF(D37=E37,1,0)</f>
        <v>0</v>
      </c>
      <c r="G37" s="13" t="n">
        <v>0.0288065843621398</v>
      </c>
      <c r="H37" s="14" t="n">
        <v>0.362188626922528</v>
      </c>
      <c r="I37" s="14" t="n">
        <v>0.290317831799132</v>
      </c>
      <c r="J37" s="14" t="n">
        <v>0.347493541278341</v>
      </c>
      <c r="K37" s="12" t="s">
        <v>33</v>
      </c>
      <c r="L37" s="15" t="n">
        <v>833</v>
      </c>
      <c r="M37" s="15" t="n">
        <v>50</v>
      </c>
    </row>
    <row r="38" customFormat="false" ht="15" hidden="false" customHeight="false" outlineLevel="0" collapsed="false">
      <c r="A38" s="12" t="s">
        <v>28</v>
      </c>
      <c r="B38" s="7" t="s">
        <v>29</v>
      </c>
      <c r="C38" s="12" t="s">
        <v>50</v>
      </c>
      <c r="D38" s="7" t="s">
        <v>31</v>
      </c>
      <c r="E38" s="7" t="s">
        <v>31</v>
      </c>
      <c r="F38" s="12" t="n">
        <f aca="false">IF(D38=E38,1,0)</f>
        <v>1</v>
      </c>
      <c r="G38" s="13" t="n">
        <v>0.0919540229885058</v>
      </c>
      <c r="H38" s="14" t="n">
        <v>0.272463946286145</v>
      </c>
      <c r="I38" s="14" t="n">
        <v>0.146716568582475</v>
      </c>
      <c r="J38" s="14" t="n">
        <v>0.58081948513138</v>
      </c>
      <c r="K38" s="12" t="s">
        <v>33</v>
      </c>
      <c r="L38" s="15" t="n">
        <v>833</v>
      </c>
      <c r="M38" s="15" t="n">
        <v>50</v>
      </c>
    </row>
    <row r="39" customFormat="false" ht="15" hidden="false" customHeight="false" outlineLevel="0" collapsed="false">
      <c r="A39" s="12" t="s">
        <v>34</v>
      </c>
      <c r="B39" s="7" t="s">
        <v>35</v>
      </c>
      <c r="C39" s="12" t="s">
        <v>50</v>
      </c>
      <c r="D39" s="7" t="s">
        <v>32</v>
      </c>
      <c r="E39" s="7" t="s">
        <v>31</v>
      </c>
      <c r="F39" s="12" t="n">
        <f aca="false">IF(D39=E39,1,0)</f>
        <v>0</v>
      </c>
      <c r="G39" s="13" t="n">
        <v>0.0375</v>
      </c>
      <c r="H39" s="14" t="n">
        <v>0.6077924952606</v>
      </c>
      <c r="I39" s="14" t="n">
        <v>0.198165252498942</v>
      </c>
      <c r="J39" s="14" t="n">
        <v>0.194042252240458</v>
      </c>
      <c r="K39" s="12" t="s">
        <v>33</v>
      </c>
      <c r="L39" s="15" t="n">
        <v>833</v>
      </c>
      <c r="M39" s="15" t="n">
        <v>50</v>
      </c>
    </row>
    <row r="40" customFormat="false" ht="15" hidden="false" customHeight="false" outlineLevel="0" collapsed="false">
      <c r="A40" s="12" t="s">
        <v>36</v>
      </c>
      <c r="B40" s="7" t="s">
        <v>37</v>
      </c>
      <c r="C40" s="12" t="s">
        <v>50</v>
      </c>
      <c r="D40" s="7" t="s">
        <v>32</v>
      </c>
      <c r="E40" s="7" t="s">
        <v>31</v>
      </c>
      <c r="F40" s="12" t="n">
        <f aca="false">IF(D40=E40,1,0)</f>
        <v>0</v>
      </c>
      <c r="G40" s="13" t="n">
        <v>0.0175879396984923</v>
      </c>
      <c r="H40" s="14" t="n">
        <v>0.560607540855702</v>
      </c>
      <c r="I40" s="14" t="n">
        <v>0.125886107104253</v>
      </c>
      <c r="J40" s="14" t="n">
        <v>0.313506352040045</v>
      </c>
      <c r="K40" s="12" t="s">
        <v>33</v>
      </c>
      <c r="L40" s="15" t="n">
        <v>833</v>
      </c>
      <c r="M40" s="15" t="n">
        <v>50</v>
      </c>
    </row>
    <row r="41" customFormat="false" ht="15" hidden="false" customHeight="false" outlineLevel="0" collapsed="false">
      <c r="A41" s="12" t="s">
        <v>38</v>
      </c>
      <c r="B41" s="7" t="s">
        <v>39</v>
      </c>
      <c r="C41" s="12" t="s">
        <v>50</v>
      </c>
      <c r="D41" s="7" t="s">
        <v>31</v>
      </c>
      <c r="E41" s="7" t="s">
        <v>31</v>
      </c>
      <c r="F41" s="12" t="n">
        <f aca="false">IF(D41=E41,1,0)</f>
        <v>1</v>
      </c>
      <c r="G41" s="13" t="n">
        <v>0.17283950617284</v>
      </c>
      <c r="H41" s="14" t="n">
        <v>0.224860640150107</v>
      </c>
      <c r="I41" s="14" t="n">
        <v>0.175540841447437</v>
      </c>
      <c r="J41" s="14" t="n">
        <v>0.599598518402456</v>
      </c>
      <c r="K41" s="12" t="s">
        <v>33</v>
      </c>
      <c r="L41" s="15" t="n">
        <v>833</v>
      </c>
      <c r="M41" s="15" t="n">
        <v>50</v>
      </c>
    </row>
    <row r="42" customFormat="false" ht="15" hidden="false" customHeight="false" outlineLevel="0" collapsed="false">
      <c r="A42" s="12" t="s">
        <v>41</v>
      </c>
      <c r="B42" s="7" t="s">
        <v>42</v>
      </c>
      <c r="C42" s="12" t="s">
        <v>50</v>
      </c>
      <c r="D42" s="7" t="s">
        <v>31</v>
      </c>
      <c r="E42" s="7" t="s">
        <v>32</v>
      </c>
      <c r="F42" s="12" t="n">
        <f aca="false">IF(D42=E42,1,0)</f>
        <v>0</v>
      </c>
      <c r="G42" s="13" t="n">
        <v>-0.015</v>
      </c>
      <c r="H42" s="14" t="n">
        <v>0.180231722253188</v>
      </c>
      <c r="I42" s="14" t="n">
        <v>0.361845657521037</v>
      </c>
      <c r="J42" s="14" t="n">
        <v>0.457922620225775</v>
      </c>
      <c r="K42" s="12" t="s">
        <v>33</v>
      </c>
      <c r="L42" s="15" t="n">
        <v>833</v>
      </c>
      <c r="M42" s="15" t="n">
        <v>50</v>
      </c>
    </row>
    <row r="43" customFormat="false" ht="15" hidden="false" customHeight="false" outlineLevel="0" collapsed="false">
      <c r="A43" s="12" t="s">
        <v>43</v>
      </c>
      <c r="B43" s="7" t="s">
        <v>44</v>
      </c>
      <c r="C43" s="12" t="s">
        <v>50</v>
      </c>
      <c r="D43" s="7" t="s">
        <v>31</v>
      </c>
      <c r="E43" s="7" t="s">
        <v>31</v>
      </c>
      <c r="F43" s="12" t="n">
        <f aca="false">IF(D43=E43,1,0)</f>
        <v>1</v>
      </c>
      <c r="G43" s="13" t="n">
        <v>0.0361111111111109</v>
      </c>
      <c r="H43" s="14" t="n">
        <v>0.282144875707633</v>
      </c>
      <c r="I43" s="14" t="n">
        <v>0.328550768251707</v>
      </c>
      <c r="J43" s="14" t="n">
        <v>0.38930435604066</v>
      </c>
      <c r="K43" s="12" t="s">
        <v>33</v>
      </c>
      <c r="L43" s="15" t="n">
        <v>833</v>
      </c>
      <c r="M43" s="15" t="n">
        <v>50</v>
      </c>
    </row>
    <row r="44" customFormat="false" ht="15" hidden="false" customHeight="false" outlineLevel="0" collapsed="false">
      <c r="A44" s="12" t="s">
        <v>28</v>
      </c>
      <c r="B44" s="7" t="s">
        <v>29</v>
      </c>
      <c r="C44" s="12" t="s">
        <v>51</v>
      </c>
      <c r="D44" s="7" t="s">
        <v>31</v>
      </c>
      <c r="E44" s="7" t="s">
        <v>31</v>
      </c>
      <c r="F44" s="12" t="n">
        <f aca="false">IF(D44=E44,1,0)</f>
        <v>1</v>
      </c>
      <c r="G44" s="13" t="n">
        <v>0.151428571428571</v>
      </c>
      <c r="H44" s="14" t="n">
        <v>0.255149379024096</v>
      </c>
      <c r="I44" s="14" t="n">
        <v>0.1140958779928</v>
      </c>
      <c r="J44" s="14" t="n">
        <v>0.630754742983104</v>
      </c>
      <c r="K44" s="12" t="s">
        <v>33</v>
      </c>
      <c r="L44" s="15" t="n">
        <v>833</v>
      </c>
      <c r="M44" s="15" t="n">
        <v>50</v>
      </c>
    </row>
    <row r="45" customFormat="false" ht="15" hidden="false" customHeight="false" outlineLevel="0" collapsed="false">
      <c r="A45" s="12" t="s">
        <v>34</v>
      </c>
      <c r="B45" s="7" t="s">
        <v>35</v>
      </c>
      <c r="C45" s="12" t="s">
        <v>51</v>
      </c>
      <c r="D45" s="7" t="s">
        <v>32</v>
      </c>
      <c r="E45" s="7" t="s">
        <v>31</v>
      </c>
      <c r="F45" s="12" t="n">
        <f aca="false">IF(D45=E45,1,0)</f>
        <v>0</v>
      </c>
      <c r="G45" s="13" t="n">
        <v>0.0168674698795181</v>
      </c>
      <c r="H45" s="14" t="n">
        <v>0.508751478251243</v>
      </c>
      <c r="I45" s="14" t="n">
        <v>0.194850876321837</v>
      </c>
      <c r="J45" s="14" t="n">
        <v>0.29639764542692</v>
      </c>
      <c r="K45" s="12" t="s">
        <v>33</v>
      </c>
      <c r="L45" s="15" t="n">
        <v>833</v>
      </c>
      <c r="M45" s="15" t="n">
        <v>50</v>
      </c>
    </row>
    <row r="46" customFormat="false" ht="15" hidden="false" customHeight="false" outlineLevel="0" collapsed="false">
      <c r="A46" s="12" t="s">
        <v>36</v>
      </c>
      <c r="B46" s="7" t="s">
        <v>37</v>
      </c>
      <c r="C46" s="12" t="s">
        <v>51</v>
      </c>
      <c r="D46" s="7" t="s">
        <v>32</v>
      </c>
      <c r="E46" s="7" t="s">
        <v>40</v>
      </c>
      <c r="F46" s="12" t="n">
        <f aca="false">IF(D46=E46,1,0)</f>
        <v>0</v>
      </c>
      <c r="G46" s="13" t="n">
        <v>-0.0024330900243308</v>
      </c>
      <c r="H46" s="14" t="n">
        <v>0.572251205904785</v>
      </c>
      <c r="I46" s="14" t="n">
        <v>0.172731812897743</v>
      </c>
      <c r="J46" s="14" t="n">
        <v>0.255016981197472</v>
      </c>
      <c r="K46" s="12" t="s">
        <v>33</v>
      </c>
      <c r="L46" s="15" t="n">
        <v>833</v>
      </c>
      <c r="M46" s="15" t="n">
        <v>50</v>
      </c>
    </row>
    <row r="47" customFormat="false" ht="15" hidden="false" customHeight="false" outlineLevel="0" collapsed="false">
      <c r="A47" s="12" t="s">
        <v>38</v>
      </c>
      <c r="B47" s="7" t="s">
        <v>39</v>
      </c>
      <c r="C47" s="12" t="s">
        <v>51</v>
      </c>
      <c r="D47" s="7" t="s">
        <v>31</v>
      </c>
      <c r="E47" s="7" t="s">
        <v>31</v>
      </c>
      <c r="F47" s="12" t="n">
        <f aca="false">IF(D47=E47,1,0)</f>
        <v>1</v>
      </c>
      <c r="G47" s="13" t="n">
        <v>0.215116279069767</v>
      </c>
      <c r="H47" s="14" t="n">
        <v>0.226588644318875</v>
      </c>
      <c r="I47" s="14" t="n">
        <v>0.161537532705375</v>
      </c>
      <c r="J47" s="14" t="n">
        <v>0.61187382297575</v>
      </c>
      <c r="K47" s="12" t="s">
        <v>33</v>
      </c>
      <c r="L47" s="15" t="n">
        <v>833</v>
      </c>
      <c r="M47" s="15" t="n">
        <v>50</v>
      </c>
    </row>
    <row r="48" customFormat="false" ht="15" hidden="false" customHeight="false" outlineLevel="0" collapsed="false">
      <c r="A48" s="12" t="s">
        <v>41</v>
      </c>
      <c r="B48" s="7" t="s">
        <v>42</v>
      </c>
      <c r="C48" s="12" t="s">
        <v>51</v>
      </c>
      <c r="D48" s="7" t="s">
        <v>31</v>
      </c>
      <c r="E48" s="7" t="s">
        <v>40</v>
      </c>
      <c r="F48" s="12" t="n">
        <f aca="false">IF(D48=E48,1,0)</f>
        <v>0</v>
      </c>
      <c r="G48" s="13" t="n">
        <v>0.0024875621890547</v>
      </c>
      <c r="H48" s="14" t="n">
        <v>0.301311297660835</v>
      </c>
      <c r="I48" s="14" t="n">
        <v>0.309619432499657</v>
      </c>
      <c r="J48" s="14" t="n">
        <v>0.389069269839508</v>
      </c>
      <c r="K48" s="12" t="s">
        <v>33</v>
      </c>
      <c r="L48" s="15" t="n">
        <v>833</v>
      </c>
      <c r="M48" s="15" t="n">
        <v>50</v>
      </c>
    </row>
    <row r="49" customFormat="false" ht="15" hidden="false" customHeight="false" outlineLevel="0" collapsed="false">
      <c r="A49" s="12" t="s">
        <v>43</v>
      </c>
      <c r="B49" s="7" t="s">
        <v>44</v>
      </c>
      <c r="C49" s="12" t="s">
        <v>51</v>
      </c>
      <c r="D49" s="7" t="s">
        <v>32</v>
      </c>
      <c r="E49" s="7" t="s">
        <v>31</v>
      </c>
      <c r="F49" s="12" t="n">
        <f aca="false">IF(D49=E49,1,0)</f>
        <v>0</v>
      </c>
      <c r="G49" s="13" t="n">
        <v>0.0385144429160935</v>
      </c>
      <c r="H49" s="14" t="n">
        <v>0.393094393190751</v>
      </c>
      <c r="I49" s="14" t="n">
        <v>0.328985462241145</v>
      </c>
      <c r="J49" s="14" t="n">
        <v>0.277920144568103</v>
      </c>
      <c r="K49" s="12" t="s">
        <v>33</v>
      </c>
      <c r="L49" s="15" t="n">
        <v>833</v>
      </c>
      <c r="M49" s="15" t="n">
        <v>50</v>
      </c>
    </row>
    <row r="50" customFormat="false" ht="15" hidden="false" customHeight="false" outlineLevel="0" collapsed="false">
      <c r="A50" s="12" t="s">
        <v>28</v>
      </c>
      <c r="B50" s="7" t="s">
        <v>29</v>
      </c>
      <c r="C50" s="12" t="s">
        <v>52</v>
      </c>
      <c r="D50" s="7" t="s">
        <v>31</v>
      </c>
      <c r="E50" s="7" t="s">
        <v>31</v>
      </c>
      <c r="F50" s="12" t="n">
        <f aca="false">IF(D50=E50,1,0)</f>
        <v>1</v>
      </c>
      <c r="G50" s="13" t="n">
        <v>0.128851540616246</v>
      </c>
      <c r="H50" s="14" t="n">
        <v>0.41369026074886</v>
      </c>
      <c r="I50" s="14" t="n">
        <v>0.132360557123758</v>
      </c>
      <c r="J50" s="14" t="n">
        <v>0.453949182127382</v>
      </c>
      <c r="K50" s="12" t="s">
        <v>33</v>
      </c>
      <c r="L50" s="15" t="n">
        <v>833</v>
      </c>
      <c r="M50" s="15" t="n">
        <v>50</v>
      </c>
    </row>
    <row r="51" customFormat="false" ht="15" hidden="false" customHeight="false" outlineLevel="0" collapsed="false">
      <c r="A51" s="12" t="s">
        <v>34</v>
      </c>
      <c r="B51" s="7" t="s">
        <v>35</v>
      </c>
      <c r="C51" s="12" t="s">
        <v>52</v>
      </c>
      <c r="D51" s="7" t="s">
        <v>32</v>
      </c>
      <c r="E51" s="7" t="s">
        <v>31</v>
      </c>
      <c r="F51" s="12" t="n">
        <f aca="false">IF(D51=E51,1,0)</f>
        <v>0</v>
      </c>
      <c r="G51" s="13" t="n">
        <v>0.0650602409638554</v>
      </c>
      <c r="H51" s="14" t="n">
        <v>0.588764323537297</v>
      </c>
      <c r="I51" s="14" t="n">
        <v>0.138689449543411</v>
      </c>
      <c r="J51" s="14" t="n">
        <v>0.272546226919291</v>
      </c>
      <c r="K51" s="12" t="s">
        <v>33</v>
      </c>
      <c r="L51" s="15" t="n">
        <v>833</v>
      </c>
      <c r="M51" s="15" t="n">
        <v>50</v>
      </c>
    </row>
    <row r="52" customFormat="false" ht="15" hidden="false" customHeight="false" outlineLevel="0" collapsed="false">
      <c r="A52" s="12" t="s">
        <v>36</v>
      </c>
      <c r="B52" s="7" t="s">
        <v>37</v>
      </c>
      <c r="C52" s="12" t="s">
        <v>52</v>
      </c>
      <c r="D52" s="7" t="s">
        <v>32</v>
      </c>
      <c r="E52" s="7" t="s">
        <v>32</v>
      </c>
      <c r="F52" s="12" t="n">
        <f aca="false">IF(D52=E52,1,0)</f>
        <v>1</v>
      </c>
      <c r="G52" s="13" t="n">
        <v>-0.0144230769230768</v>
      </c>
      <c r="H52" s="14" t="n">
        <v>0.549991948801086</v>
      </c>
      <c r="I52" s="14" t="n">
        <v>0.219827115029196</v>
      </c>
      <c r="J52" s="14" t="n">
        <v>0.230180936169718</v>
      </c>
      <c r="K52" s="12" t="s">
        <v>33</v>
      </c>
      <c r="L52" s="15" t="n">
        <v>833</v>
      </c>
      <c r="M52" s="15" t="n">
        <v>50</v>
      </c>
    </row>
    <row r="53" customFormat="false" ht="15" hidden="false" customHeight="false" outlineLevel="0" collapsed="false">
      <c r="A53" s="12" t="s">
        <v>38</v>
      </c>
      <c r="B53" s="7" t="s">
        <v>39</v>
      </c>
      <c r="C53" s="12" t="s">
        <v>52</v>
      </c>
      <c r="D53" s="7" t="s">
        <v>31</v>
      </c>
      <c r="E53" s="7" t="s">
        <v>31</v>
      </c>
      <c r="F53" s="12" t="n">
        <f aca="false">IF(D53=E53,1,0)</f>
        <v>1</v>
      </c>
      <c r="G53" s="13" t="n">
        <v>0.282122905027933</v>
      </c>
      <c r="H53" s="14" t="n">
        <v>0.37532875618493</v>
      </c>
      <c r="I53" s="14" t="n">
        <v>0.164155155391466</v>
      </c>
      <c r="J53" s="14" t="n">
        <v>0.460516088423605</v>
      </c>
      <c r="K53" s="12" t="s">
        <v>33</v>
      </c>
      <c r="L53" s="15" t="n">
        <v>833</v>
      </c>
      <c r="M53" s="15" t="n">
        <v>50</v>
      </c>
    </row>
    <row r="54" customFormat="false" ht="15" hidden="false" customHeight="false" outlineLevel="0" collapsed="false">
      <c r="A54" s="12" t="s">
        <v>41</v>
      </c>
      <c r="B54" s="7" t="s">
        <v>42</v>
      </c>
      <c r="C54" s="12" t="s">
        <v>52</v>
      </c>
      <c r="D54" s="7" t="s">
        <v>32</v>
      </c>
      <c r="E54" s="7" t="s">
        <v>40</v>
      </c>
      <c r="F54" s="12" t="n">
        <f aca="false">IF(D54=E54,1,0)</f>
        <v>0</v>
      </c>
      <c r="G54" s="13" t="n">
        <v>-0.0049261083743842</v>
      </c>
      <c r="H54" s="14" t="n">
        <v>0.461013845103659</v>
      </c>
      <c r="I54" s="14" t="n">
        <v>0.225758373400179</v>
      </c>
      <c r="J54" s="14" t="n">
        <v>0.313227781496162</v>
      </c>
      <c r="K54" s="12" t="s">
        <v>33</v>
      </c>
      <c r="L54" s="15" t="n">
        <v>833</v>
      </c>
      <c r="M54" s="15" t="n">
        <v>50</v>
      </c>
    </row>
    <row r="55" customFormat="false" ht="15" hidden="false" customHeight="false" outlineLevel="0" collapsed="false">
      <c r="A55" s="12" t="s">
        <v>43</v>
      </c>
      <c r="B55" s="7" t="s">
        <v>44</v>
      </c>
      <c r="C55" s="12" t="s">
        <v>52</v>
      </c>
      <c r="D55" s="7" t="s">
        <v>31</v>
      </c>
      <c r="E55" s="7" t="s">
        <v>31</v>
      </c>
      <c r="F55" s="12" t="n">
        <f aca="false">IF(D55=E55,1,0)</f>
        <v>1</v>
      </c>
      <c r="G55" s="13" t="n">
        <v>0.0411522633744856</v>
      </c>
      <c r="H55" s="14" t="n">
        <v>0.314671344860803</v>
      </c>
      <c r="I55" s="14" t="n">
        <v>0.251077781620379</v>
      </c>
      <c r="J55" s="14" t="n">
        <v>0.434250873518819</v>
      </c>
      <c r="K55" s="12" t="s">
        <v>33</v>
      </c>
      <c r="L55" s="15" t="n">
        <v>833</v>
      </c>
      <c r="M55" s="15" t="n">
        <v>50</v>
      </c>
    </row>
    <row r="56" customFormat="false" ht="15" hidden="false" customHeight="false" outlineLevel="0" collapsed="false">
      <c r="A56" s="12" t="s">
        <v>28</v>
      </c>
      <c r="B56" s="7" t="s">
        <v>29</v>
      </c>
      <c r="C56" s="12" t="s">
        <v>53</v>
      </c>
      <c r="D56" s="7" t="s">
        <v>32</v>
      </c>
      <c r="E56" s="7" t="s">
        <v>31</v>
      </c>
      <c r="F56" s="12" t="n">
        <f aca="false">IF(D56=E56,1,0)</f>
        <v>0</v>
      </c>
      <c r="G56" s="13" t="n">
        <v>0.0731707317073171</v>
      </c>
      <c r="H56" s="14" t="n">
        <v>0.487377322801824</v>
      </c>
      <c r="I56" s="14" t="n">
        <v>0.211296853389232</v>
      </c>
      <c r="J56" s="14" t="n">
        <v>0.301325823808944</v>
      </c>
      <c r="K56" s="12" t="s">
        <v>33</v>
      </c>
      <c r="L56" s="15" t="n">
        <v>833</v>
      </c>
      <c r="M56" s="15" t="n">
        <v>50</v>
      </c>
    </row>
    <row r="57" customFormat="false" ht="15" hidden="false" customHeight="false" outlineLevel="0" collapsed="false">
      <c r="A57" s="12" t="s">
        <v>34</v>
      </c>
      <c r="B57" s="7" t="s">
        <v>35</v>
      </c>
      <c r="C57" s="12" t="s">
        <v>53</v>
      </c>
      <c r="D57" s="7" t="s">
        <v>32</v>
      </c>
      <c r="E57" s="7" t="s">
        <v>31</v>
      </c>
      <c r="F57" s="12" t="n">
        <f aca="false">IF(D57=E57,1,0)</f>
        <v>0</v>
      </c>
      <c r="G57" s="13" t="n">
        <v>0.0869565217391303</v>
      </c>
      <c r="H57" s="14" t="n">
        <v>0.596933679497056</v>
      </c>
      <c r="I57" s="14" t="n">
        <v>0.215734700665028</v>
      </c>
      <c r="J57" s="14" t="n">
        <v>0.187331619837916</v>
      </c>
      <c r="K57" s="12" t="s">
        <v>33</v>
      </c>
      <c r="L57" s="15" t="n">
        <v>833</v>
      </c>
      <c r="M57" s="15" t="n">
        <v>50</v>
      </c>
    </row>
    <row r="58" customFormat="false" ht="15" hidden="false" customHeight="false" outlineLevel="0" collapsed="false">
      <c r="A58" s="12" t="s">
        <v>36</v>
      </c>
      <c r="B58" s="7" t="s">
        <v>37</v>
      </c>
      <c r="C58" s="12" t="s">
        <v>53</v>
      </c>
      <c r="D58" s="7" t="s">
        <v>32</v>
      </c>
      <c r="E58" s="7" t="s">
        <v>40</v>
      </c>
      <c r="F58" s="12" t="n">
        <f aca="false">IF(D58=E58,1,0)</f>
        <v>0</v>
      </c>
      <c r="G58" s="13" t="n">
        <v>-0.0023980815347721</v>
      </c>
      <c r="H58" s="14" t="n">
        <v>0.500508574843498</v>
      </c>
      <c r="I58" s="14" t="n">
        <v>0.250488287598204</v>
      </c>
      <c r="J58" s="14" t="n">
        <v>0.249003137558298</v>
      </c>
      <c r="K58" s="12" t="s">
        <v>33</v>
      </c>
      <c r="L58" s="15" t="n">
        <v>833</v>
      </c>
      <c r="M58" s="15" t="n">
        <v>50</v>
      </c>
    </row>
    <row r="59" customFormat="false" ht="15" hidden="false" customHeight="false" outlineLevel="0" collapsed="false">
      <c r="A59" s="12" t="s">
        <v>38</v>
      </c>
      <c r="B59" s="7" t="s">
        <v>39</v>
      </c>
      <c r="C59" s="12" t="s">
        <v>53</v>
      </c>
      <c r="D59" s="7" t="s">
        <v>31</v>
      </c>
      <c r="E59" s="7" t="s">
        <v>31</v>
      </c>
      <c r="F59" s="12" t="n">
        <f aca="false">IF(D59=E59,1,0)</f>
        <v>1</v>
      </c>
      <c r="G59" s="13" t="n">
        <v>0.1688654353562</v>
      </c>
      <c r="H59" s="14" t="n">
        <v>0.338486822101797</v>
      </c>
      <c r="I59" s="14" t="n">
        <v>0.302551205051087</v>
      </c>
      <c r="J59" s="14" t="n">
        <v>0.358961972847116</v>
      </c>
      <c r="K59" s="12" t="s">
        <v>33</v>
      </c>
      <c r="L59" s="15" t="n">
        <v>833</v>
      </c>
      <c r="M59" s="15" t="n">
        <v>50</v>
      </c>
    </row>
    <row r="60" customFormat="false" ht="15" hidden="false" customHeight="false" outlineLevel="0" collapsed="false">
      <c r="A60" s="12" t="s">
        <v>41</v>
      </c>
      <c r="B60" s="7" t="s">
        <v>42</v>
      </c>
      <c r="C60" s="12" t="s">
        <v>53</v>
      </c>
      <c r="D60" s="7" t="s">
        <v>32</v>
      </c>
      <c r="E60" s="7" t="s">
        <v>40</v>
      </c>
      <c r="F60" s="12" t="n">
        <f aca="false">IF(D60=E60,1,0)</f>
        <v>0</v>
      </c>
      <c r="G60" s="13" t="n">
        <v>-0.0024813895781637</v>
      </c>
      <c r="H60" s="14" t="n">
        <v>0.433028121854215</v>
      </c>
      <c r="I60" s="14" t="n">
        <v>0.187836519734239</v>
      </c>
      <c r="J60" s="14" t="n">
        <v>0.379135358411546</v>
      </c>
      <c r="K60" s="12" t="s">
        <v>33</v>
      </c>
      <c r="L60" s="15" t="n">
        <v>833</v>
      </c>
      <c r="M60" s="15" t="n">
        <v>50</v>
      </c>
    </row>
    <row r="61" customFormat="false" ht="15" hidden="false" customHeight="false" outlineLevel="0" collapsed="false">
      <c r="A61" s="12" t="s">
        <v>43</v>
      </c>
      <c r="B61" s="7" t="s">
        <v>44</v>
      </c>
      <c r="C61" s="12" t="s">
        <v>53</v>
      </c>
      <c r="D61" s="7" t="s">
        <v>40</v>
      </c>
      <c r="E61" s="7" t="s">
        <v>40</v>
      </c>
      <c r="F61" s="12" t="n">
        <f aca="false">IF(D61=E61,1,0)</f>
        <v>1</v>
      </c>
      <c r="G61" s="13" t="n">
        <v>0.0080862533692722</v>
      </c>
      <c r="H61" s="14" t="n">
        <v>0.264865202647863</v>
      </c>
      <c r="I61" s="14" t="n">
        <v>0.432035681860523</v>
      </c>
      <c r="J61" s="14" t="n">
        <v>0.303099115491614</v>
      </c>
      <c r="K61" s="12" t="s">
        <v>33</v>
      </c>
      <c r="L61" s="15" t="n">
        <v>833</v>
      </c>
      <c r="M61" s="15" t="n">
        <v>50</v>
      </c>
    </row>
    <row r="62" customFormat="false" ht="15" hidden="false" customHeight="false" outlineLevel="0" collapsed="false">
      <c r="A62" s="12" t="s">
        <v>28</v>
      </c>
      <c r="B62" s="7" t="s">
        <v>29</v>
      </c>
      <c r="C62" s="12" t="s">
        <v>54</v>
      </c>
      <c r="D62" s="7" t="s">
        <v>32</v>
      </c>
      <c r="E62" s="7" t="s">
        <v>31</v>
      </c>
      <c r="F62" s="12" t="n">
        <f aca="false">IF(D62=E62,1,0)</f>
        <v>0</v>
      </c>
      <c r="G62" s="13" t="n">
        <v>0.127717391304348</v>
      </c>
      <c r="H62" s="14" t="n">
        <v>0.482869944978742</v>
      </c>
      <c r="I62" s="14" t="n">
        <v>0.191943491192782</v>
      </c>
      <c r="J62" s="14" t="n">
        <v>0.325186563828475</v>
      </c>
      <c r="K62" s="12" t="s">
        <v>33</v>
      </c>
      <c r="L62" s="15" t="n">
        <v>833</v>
      </c>
      <c r="M62" s="15" t="n">
        <v>50</v>
      </c>
    </row>
    <row r="63" customFormat="false" ht="15" hidden="false" customHeight="false" outlineLevel="0" collapsed="false">
      <c r="A63" s="12" t="s">
        <v>34</v>
      </c>
      <c r="B63" s="7" t="s">
        <v>35</v>
      </c>
      <c r="C63" s="12" t="s">
        <v>54</v>
      </c>
      <c r="D63" s="7" t="s">
        <v>32</v>
      </c>
      <c r="E63" s="7" t="s">
        <v>31</v>
      </c>
      <c r="F63" s="12" t="n">
        <f aca="false">IF(D63=E63,1,0)</f>
        <v>0</v>
      </c>
      <c r="G63" s="13" t="n">
        <v>0.075242718446602</v>
      </c>
      <c r="H63" s="14" t="n">
        <v>0.629568177509458</v>
      </c>
      <c r="I63" s="14" t="n">
        <v>0.188575348203021</v>
      </c>
      <c r="J63" s="14" t="n">
        <v>0.181856474287522</v>
      </c>
      <c r="K63" s="12" t="s">
        <v>33</v>
      </c>
      <c r="L63" s="15" t="n">
        <v>833</v>
      </c>
      <c r="M63" s="15" t="n">
        <v>50</v>
      </c>
    </row>
    <row r="64" customFormat="false" ht="15" hidden="false" customHeight="false" outlineLevel="0" collapsed="false">
      <c r="A64" s="12" t="s">
        <v>36</v>
      </c>
      <c r="B64" s="7" t="s">
        <v>37</v>
      </c>
      <c r="C64" s="12" t="s">
        <v>54</v>
      </c>
      <c r="D64" s="7" t="s">
        <v>32</v>
      </c>
      <c r="E64" s="7" t="s">
        <v>31</v>
      </c>
      <c r="F64" s="12" t="n">
        <f aca="false">IF(D64=E64,1,0)</f>
        <v>0</v>
      </c>
      <c r="G64" s="13" t="n">
        <v>0.0763546798029557</v>
      </c>
      <c r="H64" s="14" t="n">
        <v>0.482597828491621</v>
      </c>
      <c r="I64" s="14" t="n">
        <v>0.215882740649778</v>
      </c>
      <c r="J64" s="14" t="n">
        <v>0.301519430858601</v>
      </c>
      <c r="K64" s="12" t="s">
        <v>33</v>
      </c>
      <c r="L64" s="15" t="n">
        <v>833</v>
      </c>
      <c r="M64" s="15" t="n">
        <v>50</v>
      </c>
    </row>
    <row r="65" customFormat="false" ht="15" hidden="false" customHeight="false" outlineLevel="0" collapsed="false">
      <c r="A65" s="12" t="s">
        <v>38</v>
      </c>
      <c r="B65" s="7" t="s">
        <v>39</v>
      </c>
      <c r="C65" s="12" t="s">
        <v>54</v>
      </c>
      <c r="D65" s="7" t="s">
        <v>32</v>
      </c>
      <c r="E65" s="7" t="s">
        <v>31</v>
      </c>
      <c r="F65" s="12" t="n">
        <f aca="false">IF(D65=E65,1,0)</f>
        <v>0</v>
      </c>
      <c r="G65" s="13" t="n">
        <v>0.264935064935065</v>
      </c>
      <c r="H65" s="14" t="n">
        <v>0.433659290117204</v>
      </c>
      <c r="I65" s="14" t="n">
        <v>0.261011631230958</v>
      </c>
      <c r="J65" s="14" t="n">
        <v>0.305329078651838</v>
      </c>
      <c r="K65" s="12" t="s">
        <v>33</v>
      </c>
      <c r="L65" s="15" t="n">
        <v>833</v>
      </c>
      <c r="M65" s="15" t="n">
        <v>50</v>
      </c>
    </row>
    <row r="66" customFormat="false" ht="15" hidden="false" customHeight="false" outlineLevel="0" collapsed="false">
      <c r="A66" s="12" t="s">
        <v>41</v>
      </c>
      <c r="B66" s="7" t="s">
        <v>42</v>
      </c>
      <c r="C66" s="12" t="s">
        <v>54</v>
      </c>
      <c r="D66" s="7" t="s">
        <v>40</v>
      </c>
      <c r="E66" s="7" t="s">
        <v>31</v>
      </c>
      <c r="F66" s="12" t="n">
        <f aca="false">IF(D66=E66,1,0)</f>
        <v>0</v>
      </c>
      <c r="G66" s="13" t="n">
        <v>0.0176767676767677</v>
      </c>
      <c r="H66" s="14" t="n">
        <v>0.270353019917294</v>
      </c>
      <c r="I66" s="14" t="n">
        <v>0.375487953786448</v>
      </c>
      <c r="J66" s="14" t="n">
        <v>0.354159026296258</v>
      </c>
      <c r="K66" s="12" t="s">
        <v>33</v>
      </c>
      <c r="L66" s="15" t="n">
        <v>833</v>
      </c>
      <c r="M66" s="15" t="n">
        <v>50</v>
      </c>
    </row>
    <row r="67" customFormat="false" ht="15" hidden="false" customHeight="false" outlineLevel="0" collapsed="false">
      <c r="A67" s="12" t="s">
        <v>43</v>
      </c>
      <c r="B67" s="7" t="s">
        <v>44</v>
      </c>
      <c r="C67" s="12" t="s">
        <v>54</v>
      </c>
      <c r="D67" s="7" t="s">
        <v>40</v>
      </c>
      <c r="E67" s="7" t="s">
        <v>40</v>
      </c>
      <c r="F67" s="12" t="n">
        <f aca="false">IF(D67=E67,1,0)</f>
        <v>1</v>
      </c>
      <c r="G67" s="13" t="n">
        <v>-0.0013333333333332</v>
      </c>
      <c r="H67" s="14" t="n">
        <v>0.278884478094338</v>
      </c>
      <c r="I67" s="14" t="n">
        <v>0.452461321285457</v>
      </c>
      <c r="J67" s="14" t="n">
        <v>0.268654200620205</v>
      </c>
      <c r="K67" s="12" t="s">
        <v>33</v>
      </c>
      <c r="L67" s="15" t="n">
        <v>833</v>
      </c>
      <c r="M67" s="15" t="n">
        <v>50</v>
      </c>
    </row>
    <row r="68" customFormat="false" ht="15" hidden="false" customHeight="false" outlineLevel="0" collapsed="false">
      <c r="A68" s="12" t="s">
        <v>28</v>
      </c>
      <c r="B68" s="7" t="s">
        <v>29</v>
      </c>
      <c r="C68" s="12" t="s">
        <v>55</v>
      </c>
      <c r="D68" s="7" t="s">
        <v>32</v>
      </c>
      <c r="E68" s="7" t="s">
        <v>31</v>
      </c>
      <c r="F68" s="12" t="n">
        <f aca="false">IF(D68=E68,1,0)</f>
        <v>0</v>
      </c>
      <c r="G68" s="13" t="n">
        <v>0.063157894736842</v>
      </c>
      <c r="H68" s="14" t="n">
        <v>0.503797287636349</v>
      </c>
      <c r="I68" s="14" t="n">
        <v>0.192159918604035</v>
      </c>
      <c r="J68" s="14" t="n">
        <v>0.304042793759615</v>
      </c>
      <c r="K68" s="12" t="s">
        <v>33</v>
      </c>
      <c r="L68" s="15" t="n">
        <v>833</v>
      </c>
      <c r="M68" s="15" t="n">
        <v>50</v>
      </c>
    </row>
    <row r="69" customFormat="false" ht="15" hidden="false" customHeight="false" outlineLevel="0" collapsed="false">
      <c r="A69" s="12" t="s">
        <v>34</v>
      </c>
      <c r="B69" s="7" t="s">
        <v>35</v>
      </c>
      <c r="C69" s="12" t="s">
        <v>55</v>
      </c>
      <c r="D69" s="7" t="s">
        <v>32</v>
      </c>
      <c r="E69" s="7" t="s">
        <v>31</v>
      </c>
      <c r="F69" s="12" t="n">
        <f aca="false">IF(D69=E69,1,0)</f>
        <v>0</v>
      </c>
      <c r="G69" s="13" t="n">
        <v>0.0987951807228915</v>
      </c>
      <c r="H69" s="14" t="n">
        <v>0.637953010191513</v>
      </c>
      <c r="I69" s="14" t="n">
        <v>0.227189898291393</v>
      </c>
      <c r="J69" s="14" t="n">
        <v>0.134857091517094</v>
      </c>
      <c r="K69" s="12" t="s">
        <v>33</v>
      </c>
      <c r="L69" s="15" t="n">
        <v>833</v>
      </c>
      <c r="M69" s="15" t="n">
        <v>50</v>
      </c>
    </row>
    <row r="70" customFormat="false" ht="15" hidden="false" customHeight="false" outlineLevel="0" collapsed="false">
      <c r="A70" s="12" t="s">
        <v>36</v>
      </c>
      <c r="B70" s="7" t="s">
        <v>37</v>
      </c>
      <c r="C70" s="12" t="s">
        <v>55</v>
      </c>
      <c r="D70" s="7" t="s">
        <v>32</v>
      </c>
      <c r="E70" s="7" t="s">
        <v>31</v>
      </c>
      <c r="F70" s="12" t="n">
        <f aca="false">IF(D70=E70,1,0)</f>
        <v>0</v>
      </c>
      <c r="G70" s="13" t="n">
        <v>0.118518518518518</v>
      </c>
      <c r="H70" s="14" t="n">
        <v>0.423918829093829</v>
      </c>
      <c r="I70" s="14" t="n">
        <v>0.292575163177689</v>
      </c>
      <c r="J70" s="14" t="n">
        <v>0.283506007728482</v>
      </c>
      <c r="K70" s="12" t="s">
        <v>33</v>
      </c>
      <c r="L70" s="15" t="n">
        <v>833</v>
      </c>
      <c r="M70" s="15" t="n">
        <v>50</v>
      </c>
    </row>
    <row r="71" customFormat="false" ht="15" hidden="false" customHeight="false" outlineLevel="0" collapsed="false">
      <c r="A71" s="12" t="s">
        <v>38</v>
      </c>
      <c r="B71" s="7" t="s">
        <v>39</v>
      </c>
      <c r="C71" s="12" t="s">
        <v>55</v>
      </c>
      <c r="D71" s="7" t="s">
        <v>31</v>
      </c>
      <c r="E71" s="7" t="s">
        <v>31</v>
      </c>
      <c r="F71" s="12" t="n">
        <f aca="false">IF(D71=E71,1,0)</f>
        <v>1</v>
      </c>
      <c r="G71" s="13" t="n">
        <v>0.281578947368421</v>
      </c>
      <c r="H71" s="14" t="n">
        <v>0.257286683709425</v>
      </c>
      <c r="I71" s="14" t="n">
        <v>0.260895812025215</v>
      </c>
      <c r="J71" s="14" t="n">
        <v>0.481817504265361</v>
      </c>
      <c r="K71" s="12" t="s">
        <v>33</v>
      </c>
      <c r="L71" s="15" t="n">
        <v>833</v>
      </c>
      <c r="M71" s="15" t="n">
        <v>50</v>
      </c>
    </row>
    <row r="72" customFormat="false" ht="15" hidden="false" customHeight="false" outlineLevel="0" collapsed="false">
      <c r="A72" s="12" t="s">
        <v>41</v>
      </c>
      <c r="B72" s="7" t="s">
        <v>42</v>
      </c>
      <c r="C72" s="12" t="s">
        <v>55</v>
      </c>
      <c r="D72" s="7" t="s">
        <v>31</v>
      </c>
      <c r="E72" s="7" t="s">
        <v>31</v>
      </c>
      <c r="F72" s="12" t="n">
        <f aca="false">IF(D72=E72,1,0)</f>
        <v>1</v>
      </c>
      <c r="G72" s="13" t="n">
        <v>0.0126903553299493</v>
      </c>
      <c r="H72" s="14" t="n">
        <v>0.195701964657849</v>
      </c>
      <c r="I72" s="14" t="n">
        <v>0.369002697703262</v>
      </c>
      <c r="J72" s="14" t="n">
        <v>0.435295337638889</v>
      </c>
      <c r="K72" s="12" t="s">
        <v>33</v>
      </c>
      <c r="L72" s="15" t="n">
        <v>833</v>
      </c>
      <c r="M72" s="15" t="n">
        <v>50</v>
      </c>
    </row>
    <row r="73" customFormat="false" ht="15" hidden="false" customHeight="false" outlineLevel="0" collapsed="false">
      <c r="A73" s="12" t="s">
        <v>43</v>
      </c>
      <c r="B73" s="7" t="s">
        <v>44</v>
      </c>
      <c r="C73" s="12" t="s">
        <v>55</v>
      </c>
      <c r="D73" s="7" t="s">
        <v>40</v>
      </c>
      <c r="E73" s="7" t="s">
        <v>40</v>
      </c>
      <c r="F73" s="12" t="n">
        <f aca="false">IF(D73=E73,1,0)</f>
        <v>1</v>
      </c>
      <c r="G73" s="13" t="n">
        <v>-0.0013404825737264</v>
      </c>
      <c r="H73" s="14" t="n">
        <v>0.326045305367894</v>
      </c>
      <c r="I73" s="14" t="n">
        <v>0.380007295564974</v>
      </c>
      <c r="J73" s="14" t="n">
        <v>0.293947399067131</v>
      </c>
      <c r="K73" s="12" t="s">
        <v>33</v>
      </c>
      <c r="L73" s="15" t="n">
        <v>833</v>
      </c>
      <c r="M73" s="15" t="n">
        <v>50</v>
      </c>
    </row>
    <row r="74" customFormat="false" ht="15" hidden="false" customHeight="false" outlineLevel="0" collapsed="false">
      <c r="A74" s="12" t="s">
        <v>28</v>
      </c>
      <c r="B74" s="7" t="s">
        <v>29</v>
      </c>
      <c r="C74" s="12" t="s">
        <v>56</v>
      </c>
      <c r="D74" s="7" t="s">
        <v>32</v>
      </c>
      <c r="E74" s="7" t="s">
        <v>31</v>
      </c>
      <c r="F74" s="12" t="n">
        <f aca="false">IF(D74=E74,1,0)</f>
        <v>0</v>
      </c>
      <c r="G74" s="13" t="n">
        <v>0.054590570719603</v>
      </c>
      <c r="H74" s="14" t="n">
        <v>0.412113784666962</v>
      </c>
      <c r="I74" s="14" t="n">
        <v>0.255162751237897</v>
      </c>
      <c r="J74" s="14" t="n">
        <v>0.332723464095141</v>
      </c>
      <c r="K74" s="12" t="s">
        <v>33</v>
      </c>
      <c r="L74" s="15" t="n">
        <v>833</v>
      </c>
      <c r="M74" s="15" t="n">
        <v>50</v>
      </c>
    </row>
    <row r="75" customFormat="false" ht="15" hidden="false" customHeight="false" outlineLevel="0" collapsed="false">
      <c r="A75" s="12" t="s">
        <v>34</v>
      </c>
      <c r="B75" s="7" t="s">
        <v>35</v>
      </c>
      <c r="C75" s="12" t="s">
        <v>56</v>
      </c>
      <c r="D75" s="7" t="s">
        <v>32</v>
      </c>
      <c r="E75" s="7" t="s">
        <v>31</v>
      </c>
      <c r="F75" s="12" t="n">
        <f aca="false">IF(D75=E75,1,0)</f>
        <v>0</v>
      </c>
      <c r="G75" s="13" t="n">
        <v>0.0687203791469195</v>
      </c>
      <c r="H75" s="14" t="n">
        <v>0.716891207686551</v>
      </c>
      <c r="I75" s="14" t="n">
        <v>0.123583833535825</v>
      </c>
      <c r="J75" s="14" t="n">
        <v>0.159524958777624</v>
      </c>
      <c r="K75" s="12" t="s">
        <v>33</v>
      </c>
      <c r="L75" s="15" t="n">
        <v>833</v>
      </c>
      <c r="M75" s="15" t="n">
        <v>50</v>
      </c>
    </row>
    <row r="76" customFormat="false" ht="15" hidden="false" customHeight="false" outlineLevel="0" collapsed="false">
      <c r="A76" s="12" t="s">
        <v>36</v>
      </c>
      <c r="B76" s="7" t="s">
        <v>37</v>
      </c>
      <c r="C76" s="12" t="s">
        <v>56</v>
      </c>
      <c r="D76" s="7" t="s">
        <v>32</v>
      </c>
      <c r="E76" s="7" t="s">
        <v>31</v>
      </c>
      <c r="F76" s="12" t="n">
        <f aca="false">IF(D76=E76,1,0)</f>
        <v>0</v>
      </c>
      <c r="G76" s="13" t="n">
        <v>0.0804878048780488</v>
      </c>
      <c r="H76" s="14" t="n">
        <v>0.586565073984653</v>
      </c>
      <c r="I76" s="14" t="n">
        <v>0.220257393238725</v>
      </c>
      <c r="J76" s="14" t="n">
        <v>0.193177532776622</v>
      </c>
      <c r="K76" s="12" t="s">
        <v>33</v>
      </c>
      <c r="L76" s="15" t="n">
        <v>833</v>
      </c>
      <c r="M76" s="15" t="n">
        <v>50</v>
      </c>
    </row>
    <row r="77" customFormat="false" ht="15" hidden="false" customHeight="false" outlineLevel="0" collapsed="false">
      <c r="A77" s="12" t="s">
        <v>38</v>
      </c>
      <c r="B77" s="7" t="s">
        <v>39</v>
      </c>
      <c r="C77" s="12" t="s">
        <v>56</v>
      </c>
      <c r="D77" s="7" t="s">
        <v>40</v>
      </c>
      <c r="E77" s="7" t="s">
        <v>31</v>
      </c>
      <c r="F77" s="12" t="n">
        <f aca="false">IF(D77=E77,1,0)</f>
        <v>0</v>
      </c>
      <c r="G77" s="13" t="n">
        <v>0.251196172248804</v>
      </c>
      <c r="H77" s="14" t="n">
        <v>0.241141495268976</v>
      </c>
      <c r="I77" s="14" t="n">
        <v>0.464471446313946</v>
      </c>
      <c r="J77" s="14" t="n">
        <v>0.294387058417078</v>
      </c>
      <c r="K77" s="12" t="s">
        <v>33</v>
      </c>
      <c r="L77" s="15" t="n">
        <v>833</v>
      </c>
      <c r="M77" s="15" t="n">
        <v>50</v>
      </c>
    </row>
    <row r="78" customFormat="false" ht="15" hidden="false" customHeight="false" outlineLevel="0" collapsed="false">
      <c r="A78" s="12" t="s">
        <v>41</v>
      </c>
      <c r="B78" s="7" t="s">
        <v>42</v>
      </c>
      <c r="C78" s="12" t="s">
        <v>56</v>
      </c>
      <c r="D78" s="7" t="s">
        <v>32</v>
      </c>
      <c r="E78" s="7" t="s">
        <v>40</v>
      </c>
      <c r="F78" s="12" t="n">
        <f aca="false">IF(D78=E78,1,0)</f>
        <v>0</v>
      </c>
      <c r="G78" s="13" t="n">
        <v>-0.0074441687344912</v>
      </c>
      <c r="H78" s="14" t="n">
        <v>0.431913575873967</v>
      </c>
      <c r="I78" s="14" t="n">
        <v>0.327885542343789</v>
      </c>
      <c r="J78" s="14" t="n">
        <v>0.240200881782244</v>
      </c>
      <c r="K78" s="12" t="s">
        <v>33</v>
      </c>
      <c r="L78" s="15" t="n">
        <v>833</v>
      </c>
      <c r="M78" s="15" t="n">
        <v>50</v>
      </c>
    </row>
    <row r="79" customFormat="false" ht="15" hidden="false" customHeight="false" outlineLevel="0" collapsed="false">
      <c r="A79" s="12" t="s">
        <v>43</v>
      </c>
      <c r="B79" s="7" t="s">
        <v>44</v>
      </c>
      <c r="C79" s="12" t="s">
        <v>56</v>
      </c>
      <c r="D79" s="7" t="s">
        <v>40</v>
      </c>
      <c r="E79" s="7" t="s">
        <v>40</v>
      </c>
      <c r="F79" s="12" t="n">
        <f aca="false">IF(D79=E79,1,0)</f>
        <v>1</v>
      </c>
      <c r="G79" s="13" t="n">
        <v>-0.0105960264900661</v>
      </c>
      <c r="H79" s="14" t="n">
        <v>0.325572350555828</v>
      </c>
      <c r="I79" s="14" t="n">
        <v>0.423448053963731</v>
      </c>
      <c r="J79" s="14" t="n">
        <v>0.250979595480442</v>
      </c>
      <c r="K79" s="12" t="s">
        <v>33</v>
      </c>
      <c r="L79" s="15" t="n">
        <v>833</v>
      </c>
      <c r="M79" s="15" t="n">
        <v>50</v>
      </c>
    </row>
    <row r="80" customFormat="false" ht="15" hidden="false" customHeight="false" outlineLevel="0" collapsed="false">
      <c r="A80" s="12" t="s">
        <v>28</v>
      </c>
      <c r="B80" s="7" t="s">
        <v>29</v>
      </c>
      <c r="C80" s="12" t="s">
        <v>57</v>
      </c>
      <c r="D80" s="7" t="s">
        <v>32</v>
      </c>
      <c r="E80" s="7" t="s">
        <v>31</v>
      </c>
      <c r="F80" s="12" t="n">
        <f aca="false">IF(D80=E80,1,0)</f>
        <v>0</v>
      </c>
      <c r="G80" s="13" t="n">
        <v>0.0744416873449131</v>
      </c>
      <c r="H80" s="14" t="n">
        <v>0.461169143335295</v>
      </c>
      <c r="I80" s="14" t="n">
        <v>0.272575683456982</v>
      </c>
      <c r="J80" s="14" t="n">
        <v>0.266255173207724</v>
      </c>
      <c r="K80" s="12" t="s">
        <v>33</v>
      </c>
      <c r="L80" s="15" t="n">
        <v>833</v>
      </c>
      <c r="M80" s="15" t="n">
        <v>50</v>
      </c>
    </row>
    <row r="81" customFormat="false" ht="15" hidden="false" customHeight="false" outlineLevel="0" collapsed="false">
      <c r="A81" s="12" t="s">
        <v>34</v>
      </c>
      <c r="B81" s="7" t="s">
        <v>35</v>
      </c>
      <c r="C81" s="12" t="s">
        <v>57</v>
      </c>
      <c r="D81" s="7" t="s">
        <v>32</v>
      </c>
      <c r="E81" s="7" t="s">
        <v>31</v>
      </c>
      <c r="F81" s="12" t="n">
        <f aca="false">IF(D81=E81,1,0)</f>
        <v>0</v>
      </c>
      <c r="G81" s="13" t="n">
        <v>0.0180995475113121</v>
      </c>
      <c r="H81" s="14" t="n">
        <v>0.654152479111628</v>
      </c>
      <c r="I81" s="14" t="n">
        <v>0.128685147660921</v>
      </c>
      <c r="J81" s="14" t="n">
        <v>0.217162373227451</v>
      </c>
      <c r="K81" s="12" t="s">
        <v>33</v>
      </c>
      <c r="L81" s="15" t="n">
        <v>833</v>
      </c>
      <c r="M81" s="15" t="n">
        <v>50</v>
      </c>
    </row>
    <row r="82" customFormat="false" ht="15" hidden="false" customHeight="false" outlineLevel="0" collapsed="false">
      <c r="A82" s="12" t="s">
        <v>36</v>
      </c>
      <c r="B82" s="7" t="s">
        <v>37</v>
      </c>
      <c r="C82" s="12" t="s">
        <v>57</v>
      </c>
      <c r="D82" s="7" t="s">
        <v>32</v>
      </c>
      <c r="E82" s="7" t="s">
        <v>31</v>
      </c>
      <c r="F82" s="12" t="n">
        <f aca="false">IF(D82=E82,1,0)</f>
        <v>0</v>
      </c>
      <c r="G82" s="13" t="n">
        <v>0.0634146341463415</v>
      </c>
      <c r="H82" s="14" t="n">
        <v>0.573773533468421</v>
      </c>
      <c r="I82" s="14" t="n">
        <v>0.209830834447241</v>
      </c>
      <c r="J82" s="14" t="n">
        <v>0.216395632084338</v>
      </c>
      <c r="K82" s="12" t="s">
        <v>33</v>
      </c>
      <c r="L82" s="15" t="n">
        <v>833</v>
      </c>
      <c r="M82" s="15" t="n">
        <v>50</v>
      </c>
    </row>
    <row r="83" customFormat="false" ht="15" hidden="false" customHeight="false" outlineLevel="0" collapsed="false">
      <c r="A83" s="12" t="s">
        <v>38</v>
      </c>
      <c r="B83" s="7" t="s">
        <v>39</v>
      </c>
      <c r="C83" s="12" t="s">
        <v>57</v>
      </c>
      <c r="D83" s="7" t="s">
        <v>40</v>
      </c>
      <c r="E83" s="7" t="s">
        <v>31</v>
      </c>
      <c r="F83" s="12" t="n">
        <f aca="false">IF(D83=E83,1,0)</f>
        <v>0</v>
      </c>
      <c r="G83" s="13" t="n">
        <v>0.122004357298475</v>
      </c>
      <c r="H83" s="14" t="n">
        <v>0.314934468841426</v>
      </c>
      <c r="I83" s="14" t="n">
        <v>0.437450627757256</v>
      </c>
      <c r="J83" s="14" t="n">
        <v>0.247614903401318</v>
      </c>
      <c r="K83" s="12" t="s">
        <v>33</v>
      </c>
      <c r="L83" s="15" t="n">
        <v>833</v>
      </c>
      <c r="M83" s="15" t="n">
        <v>50</v>
      </c>
    </row>
    <row r="84" customFormat="false" ht="15" hidden="false" customHeight="false" outlineLevel="0" collapsed="false">
      <c r="A84" s="12" t="s">
        <v>41</v>
      </c>
      <c r="B84" s="7" t="s">
        <v>42</v>
      </c>
      <c r="C84" s="12" t="s">
        <v>57</v>
      </c>
      <c r="D84" s="7" t="s">
        <v>32</v>
      </c>
      <c r="E84" s="7" t="s">
        <v>40</v>
      </c>
      <c r="F84" s="12" t="n">
        <f aca="false">IF(D84=E84,1,0)</f>
        <v>0</v>
      </c>
      <c r="G84" s="13" t="n">
        <v>-0.0024752475247524</v>
      </c>
      <c r="H84" s="14" t="n">
        <v>0.380262720433391</v>
      </c>
      <c r="I84" s="14" t="n">
        <v>0.257424540823683</v>
      </c>
      <c r="J84" s="14" t="n">
        <v>0.362312738742926</v>
      </c>
      <c r="K84" s="12" t="s">
        <v>33</v>
      </c>
      <c r="L84" s="15" t="n">
        <v>833</v>
      </c>
      <c r="M84" s="15" t="n">
        <v>50</v>
      </c>
    </row>
    <row r="85" customFormat="false" ht="15" hidden="false" customHeight="false" outlineLevel="0" collapsed="false">
      <c r="A85" s="12" t="s">
        <v>43</v>
      </c>
      <c r="B85" s="7" t="s">
        <v>44</v>
      </c>
      <c r="C85" s="12" t="s">
        <v>57</v>
      </c>
      <c r="D85" s="7" t="s">
        <v>31</v>
      </c>
      <c r="E85" s="7" t="s">
        <v>31</v>
      </c>
      <c r="F85" s="12" t="n">
        <f aca="false">IF(D85=E85,1,0)</f>
        <v>1</v>
      </c>
      <c r="G85" s="13" t="n">
        <v>0.035573122529644</v>
      </c>
      <c r="H85" s="14" t="n">
        <v>0.260317322859852</v>
      </c>
      <c r="I85" s="14" t="n">
        <v>0.272350908704185</v>
      </c>
      <c r="J85" s="14" t="n">
        <v>0.467331768435963</v>
      </c>
      <c r="K85" s="12" t="s">
        <v>33</v>
      </c>
      <c r="L85" s="15" t="n">
        <v>833</v>
      </c>
      <c r="M85" s="15" t="n">
        <v>50</v>
      </c>
    </row>
    <row r="86" customFormat="false" ht="15" hidden="false" customHeight="false" outlineLevel="0" collapsed="false">
      <c r="A86" s="12" t="s">
        <v>28</v>
      </c>
      <c r="B86" s="7" t="s">
        <v>29</v>
      </c>
      <c r="C86" s="12" t="s">
        <v>58</v>
      </c>
      <c r="D86" s="7" t="s">
        <v>31</v>
      </c>
      <c r="E86" s="7" t="s">
        <v>31</v>
      </c>
      <c r="F86" s="12" t="n">
        <f aca="false">IF(D86=E86,1,0)</f>
        <v>1</v>
      </c>
      <c r="G86" s="13" t="n">
        <v>0.0934343434343434</v>
      </c>
      <c r="H86" s="14" t="n">
        <v>0.417944514059841</v>
      </c>
      <c r="I86" s="14" t="n">
        <v>0.133495439466261</v>
      </c>
      <c r="J86" s="14" t="n">
        <v>0.448560046473898</v>
      </c>
      <c r="K86" s="12" t="s">
        <v>33</v>
      </c>
      <c r="L86" s="15" t="n">
        <v>833</v>
      </c>
      <c r="M86" s="15" t="n">
        <v>50</v>
      </c>
    </row>
    <row r="87" customFormat="false" ht="15" hidden="false" customHeight="false" outlineLevel="0" collapsed="false">
      <c r="A87" s="12" t="s">
        <v>34</v>
      </c>
      <c r="B87" s="7" t="s">
        <v>35</v>
      </c>
      <c r="C87" s="12" t="s">
        <v>58</v>
      </c>
      <c r="D87" s="7" t="s">
        <v>32</v>
      </c>
      <c r="E87" s="7" t="s">
        <v>32</v>
      </c>
      <c r="F87" s="12" t="n">
        <f aca="false">IF(D87=E87,1,0)</f>
        <v>1</v>
      </c>
      <c r="G87" s="13" t="n">
        <v>-0.0244444444444444</v>
      </c>
      <c r="H87" s="14" t="n">
        <v>0.535909118810566</v>
      </c>
      <c r="I87" s="14" t="n">
        <v>0.175859304069629</v>
      </c>
      <c r="J87" s="14" t="n">
        <v>0.288231577119805</v>
      </c>
      <c r="K87" s="12" t="s">
        <v>33</v>
      </c>
      <c r="L87" s="15" t="n">
        <v>833</v>
      </c>
      <c r="M87" s="15" t="n">
        <v>50</v>
      </c>
    </row>
    <row r="88" customFormat="false" ht="15" hidden="false" customHeight="false" outlineLevel="0" collapsed="false">
      <c r="A88" s="12" t="s">
        <v>36</v>
      </c>
      <c r="B88" s="7" t="s">
        <v>37</v>
      </c>
      <c r="C88" s="12" t="s">
        <v>58</v>
      </c>
      <c r="D88" s="7" t="s">
        <v>32</v>
      </c>
      <c r="E88" s="7" t="s">
        <v>31</v>
      </c>
      <c r="F88" s="12" t="n">
        <f aca="false">IF(D88=E88,1,0)</f>
        <v>0</v>
      </c>
      <c r="G88" s="13" t="n">
        <v>0.0264423076923077</v>
      </c>
      <c r="H88" s="14" t="n">
        <v>0.544981020674212</v>
      </c>
      <c r="I88" s="14" t="n">
        <v>0.118935377744113</v>
      </c>
      <c r="J88" s="14" t="n">
        <v>0.336083601581675</v>
      </c>
      <c r="K88" s="12" t="s">
        <v>33</v>
      </c>
      <c r="L88" s="15" t="n">
        <v>833</v>
      </c>
      <c r="M88" s="15" t="n">
        <v>50</v>
      </c>
    </row>
    <row r="89" customFormat="false" ht="15" hidden="false" customHeight="false" outlineLevel="0" collapsed="false">
      <c r="A89" s="12" t="s">
        <v>38</v>
      </c>
      <c r="B89" s="7" t="s">
        <v>39</v>
      </c>
      <c r="C89" s="12" t="s">
        <v>58</v>
      </c>
      <c r="D89" s="7" t="s">
        <v>32</v>
      </c>
      <c r="E89" s="7" t="s">
        <v>31</v>
      </c>
      <c r="F89" s="12" t="n">
        <f aca="false">IF(D89=E89,1,0)</f>
        <v>0</v>
      </c>
      <c r="G89" s="13" t="n">
        <v>0.178329571106095</v>
      </c>
      <c r="H89" s="14" t="n">
        <v>0.432113762232667</v>
      </c>
      <c r="I89" s="14" t="n">
        <v>0.171405290052234</v>
      </c>
      <c r="J89" s="14" t="n">
        <v>0.3964809477151</v>
      </c>
      <c r="K89" s="12" t="s">
        <v>33</v>
      </c>
      <c r="L89" s="15" t="n">
        <v>833</v>
      </c>
      <c r="M89" s="15" t="n">
        <v>50</v>
      </c>
    </row>
    <row r="90" customFormat="false" ht="15" hidden="false" customHeight="false" outlineLevel="0" collapsed="false">
      <c r="A90" s="12" t="s">
        <v>41</v>
      </c>
      <c r="B90" s="7" t="s">
        <v>42</v>
      </c>
      <c r="C90" s="12" t="s">
        <v>58</v>
      </c>
      <c r="D90" s="7" t="s">
        <v>40</v>
      </c>
      <c r="E90" s="7" t="s">
        <v>40</v>
      </c>
      <c r="F90" s="12" t="n">
        <f aca="false">IF(D90=E90,1,0)</f>
        <v>1</v>
      </c>
      <c r="G90" s="13" t="n">
        <v>0.0049751243781095</v>
      </c>
      <c r="H90" s="14" t="n">
        <v>0.354773795737829</v>
      </c>
      <c r="I90" s="14" t="n">
        <v>0.382299666434235</v>
      </c>
      <c r="J90" s="14" t="n">
        <v>0.262926537827936</v>
      </c>
      <c r="K90" s="12" t="s">
        <v>33</v>
      </c>
      <c r="L90" s="15" t="n">
        <v>833</v>
      </c>
      <c r="M90" s="15" t="n">
        <v>50</v>
      </c>
    </row>
    <row r="91" customFormat="false" ht="15" hidden="false" customHeight="false" outlineLevel="0" collapsed="false">
      <c r="A91" s="12" t="s">
        <v>43</v>
      </c>
      <c r="B91" s="7" t="s">
        <v>44</v>
      </c>
      <c r="C91" s="12" t="s">
        <v>58</v>
      </c>
      <c r="D91" s="7" t="s">
        <v>40</v>
      </c>
      <c r="E91" s="7" t="s">
        <v>31</v>
      </c>
      <c r="F91" s="12" t="n">
        <f aca="false">IF(D91=E91,1,0)</f>
        <v>0</v>
      </c>
      <c r="G91" s="13" t="n">
        <v>0.0320855614973263</v>
      </c>
      <c r="H91" s="14" t="n">
        <v>0.216983785326452</v>
      </c>
      <c r="I91" s="14" t="n">
        <v>0.51765862347357</v>
      </c>
      <c r="J91" s="14" t="n">
        <v>0.265357591199978</v>
      </c>
      <c r="K91" s="12" t="s">
        <v>33</v>
      </c>
      <c r="L91" s="15" t="n">
        <v>833</v>
      </c>
      <c r="M91" s="15" t="n">
        <v>50</v>
      </c>
    </row>
    <row r="92" customFormat="false" ht="15" hidden="false" customHeight="false" outlineLevel="0" collapsed="false">
      <c r="A92" s="12" t="s">
        <v>28</v>
      </c>
      <c r="B92" s="7" t="s">
        <v>29</v>
      </c>
      <c r="C92" s="12" t="s">
        <v>59</v>
      </c>
      <c r="D92" s="7" t="s">
        <v>32</v>
      </c>
      <c r="E92" s="7" t="s">
        <v>31</v>
      </c>
      <c r="F92" s="12" t="n">
        <f aca="false">IF(D92=E92,1,0)</f>
        <v>0</v>
      </c>
      <c r="G92" s="13" t="n">
        <v>0.069879518072289</v>
      </c>
      <c r="H92" s="14" t="n">
        <v>0.412939926953823</v>
      </c>
      <c r="I92" s="14" t="n">
        <v>0.295880598890171</v>
      </c>
      <c r="J92" s="14" t="n">
        <v>0.291179474156006</v>
      </c>
      <c r="K92" s="12" t="s">
        <v>33</v>
      </c>
      <c r="L92" s="15" t="n">
        <v>833</v>
      </c>
      <c r="M92" s="15" t="n">
        <v>50</v>
      </c>
    </row>
    <row r="93" customFormat="false" ht="15" hidden="false" customHeight="false" outlineLevel="0" collapsed="false">
      <c r="A93" s="12" t="s">
        <v>34</v>
      </c>
      <c r="B93" s="7" t="s">
        <v>35</v>
      </c>
      <c r="C93" s="12" t="s">
        <v>59</v>
      </c>
      <c r="D93" s="7" t="s">
        <v>32</v>
      </c>
      <c r="E93" s="7" t="s">
        <v>31</v>
      </c>
      <c r="F93" s="12" t="n">
        <f aca="false">IF(D93=E93,1,0)</f>
        <v>0</v>
      </c>
      <c r="G93" s="13" t="n">
        <v>0.0270880361173815</v>
      </c>
      <c r="H93" s="14" t="n">
        <v>0.396447000362711</v>
      </c>
      <c r="I93" s="14" t="n">
        <v>0.269697815057223</v>
      </c>
      <c r="J93" s="14" t="n">
        <v>0.333855184580066</v>
      </c>
      <c r="K93" s="12" t="s">
        <v>33</v>
      </c>
      <c r="L93" s="15" t="n">
        <v>833</v>
      </c>
      <c r="M93" s="15" t="n">
        <v>50</v>
      </c>
    </row>
    <row r="94" customFormat="false" ht="15" hidden="false" customHeight="false" outlineLevel="0" collapsed="false">
      <c r="A94" s="12" t="s">
        <v>36</v>
      </c>
      <c r="B94" s="7" t="s">
        <v>37</v>
      </c>
      <c r="C94" s="12" t="s">
        <v>59</v>
      </c>
      <c r="D94" s="7" t="s">
        <v>32</v>
      </c>
      <c r="E94" s="7" t="s">
        <v>31</v>
      </c>
      <c r="F94" s="12" t="n">
        <f aca="false">IF(D94=E94,1,0)</f>
        <v>0</v>
      </c>
      <c r="G94" s="13" t="n">
        <v>0.0411899313501145</v>
      </c>
      <c r="H94" s="14" t="n">
        <v>0.511192056482042</v>
      </c>
      <c r="I94" s="14" t="n">
        <v>0.196077958795014</v>
      </c>
      <c r="J94" s="14" t="n">
        <v>0.292729984722944</v>
      </c>
      <c r="K94" s="12" t="s">
        <v>33</v>
      </c>
      <c r="L94" s="15" t="n">
        <v>833</v>
      </c>
      <c r="M94" s="15" t="n">
        <v>50</v>
      </c>
    </row>
    <row r="95" customFormat="false" ht="15" hidden="false" customHeight="false" outlineLevel="0" collapsed="false">
      <c r="A95" s="12" t="s">
        <v>38</v>
      </c>
      <c r="B95" s="7" t="s">
        <v>39</v>
      </c>
      <c r="C95" s="12" t="s">
        <v>59</v>
      </c>
      <c r="D95" s="7" t="s">
        <v>31</v>
      </c>
      <c r="E95" s="7" t="s">
        <v>31</v>
      </c>
      <c r="F95" s="12" t="n">
        <f aca="false">IF(D95=E95,1,0)</f>
        <v>1</v>
      </c>
      <c r="G95" s="13" t="n">
        <v>0.17864476386037</v>
      </c>
      <c r="H95" s="14" t="n">
        <v>0.345348138366699</v>
      </c>
      <c r="I95" s="14" t="n">
        <v>0.285169930742955</v>
      </c>
      <c r="J95" s="14" t="n">
        <v>0.369481930890346</v>
      </c>
      <c r="K95" s="12" t="s">
        <v>33</v>
      </c>
      <c r="L95" s="15" t="n">
        <v>833</v>
      </c>
      <c r="M95" s="15" t="n">
        <v>50</v>
      </c>
    </row>
    <row r="96" customFormat="false" ht="15" hidden="false" customHeight="false" outlineLevel="0" collapsed="false">
      <c r="A96" s="12" t="s">
        <v>41</v>
      </c>
      <c r="B96" s="7" t="s">
        <v>42</v>
      </c>
      <c r="C96" s="12" t="s">
        <v>59</v>
      </c>
      <c r="D96" s="7" t="s">
        <v>40</v>
      </c>
      <c r="E96" s="7" t="s">
        <v>31</v>
      </c>
      <c r="F96" s="12" t="n">
        <f aca="false">IF(D96=E96,1,0)</f>
        <v>0</v>
      </c>
      <c r="G96" s="13" t="n">
        <v>0.022332506203474</v>
      </c>
      <c r="H96" s="14" t="n">
        <v>0.319195755656444</v>
      </c>
      <c r="I96" s="14" t="n">
        <v>0.383593342816827</v>
      </c>
      <c r="J96" s="14" t="n">
        <v>0.297210901526728</v>
      </c>
      <c r="K96" s="12" t="s">
        <v>33</v>
      </c>
      <c r="L96" s="15" t="n">
        <v>833</v>
      </c>
      <c r="M96" s="15" t="n">
        <v>50</v>
      </c>
    </row>
    <row r="97" customFormat="false" ht="15" hidden="false" customHeight="false" outlineLevel="0" collapsed="false">
      <c r="A97" s="12" t="s">
        <v>43</v>
      </c>
      <c r="B97" s="7" t="s">
        <v>44</v>
      </c>
      <c r="C97" s="12" t="s">
        <v>59</v>
      </c>
      <c r="D97" s="7" t="s">
        <v>40</v>
      </c>
      <c r="E97" s="7" t="s">
        <v>31</v>
      </c>
      <c r="F97" s="12" t="n">
        <f aca="false">IF(D97=E97,1,0)</f>
        <v>0</v>
      </c>
      <c r="G97" s="13" t="n">
        <v>0.0173564753004005</v>
      </c>
      <c r="H97" s="14" t="n">
        <v>0.266440030696365</v>
      </c>
      <c r="I97" s="14" t="n">
        <v>0.532833024573365</v>
      </c>
      <c r="J97" s="14" t="n">
        <v>0.20072694473027</v>
      </c>
      <c r="K97" s="12" t="s">
        <v>33</v>
      </c>
      <c r="L97" s="15" t="n">
        <v>833</v>
      </c>
      <c r="M97" s="15" t="n">
        <v>50</v>
      </c>
    </row>
    <row r="98" customFormat="false" ht="15" hidden="false" customHeight="false" outlineLevel="0" collapsed="false">
      <c r="A98" s="12" t="s">
        <v>28</v>
      </c>
      <c r="B98" s="7" t="s">
        <v>29</v>
      </c>
      <c r="C98" s="12" t="s">
        <v>60</v>
      </c>
      <c r="D98" s="7" t="s">
        <v>32</v>
      </c>
      <c r="E98" s="7" t="s">
        <v>31</v>
      </c>
      <c r="F98" s="12" t="n">
        <f aca="false">IF(D98=E98,1,0)</f>
        <v>0</v>
      </c>
      <c r="G98" s="13" t="n">
        <v>0.0717821782178218</v>
      </c>
      <c r="H98" s="14" t="n">
        <v>0.481345785015623</v>
      </c>
      <c r="I98" s="14" t="n">
        <v>0.175150001610588</v>
      </c>
      <c r="J98" s="14" t="n">
        <v>0.343504213373789</v>
      </c>
      <c r="K98" s="12" t="s">
        <v>33</v>
      </c>
      <c r="L98" s="15" t="n">
        <v>833</v>
      </c>
      <c r="M98" s="15" t="n">
        <v>50</v>
      </c>
    </row>
    <row r="99" customFormat="false" ht="15" hidden="false" customHeight="false" outlineLevel="0" collapsed="false">
      <c r="A99" s="12" t="s">
        <v>34</v>
      </c>
      <c r="B99" s="7" t="s">
        <v>35</v>
      </c>
      <c r="C99" s="12" t="s">
        <v>60</v>
      </c>
      <c r="D99" s="7" t="s">
        <v>32</v>
      </c>
      <c r="E99" s="7" t="s">
        <v>31</v>
      </c>
      <c r="F99" s="12" t="n">
        <f aca="false">IF(D99=E99,1,0)</f>
        <v>0</v>
      </c>
      <c r="G99" s="13" t="n">
        <v>0.0504385964912281</v>
      </c>
      <c r="H99" s="14" t="n">
        <v>0.410236306903507</v>
      </c>
      <c r="I99" s="14" t="n">
        <v>0.303600275854696</v>
      </c>
      <c r="J99" s="14" t="n">
        <v>0.286163417241797</v>
      </c>
      <c r="K99" s="12" t="s">
        <v>33</v>
      </c>
      <c r="L99" s="15" t="n">
        <v>833</v>
      </c>
      <c r="M99" s="15" t="n">
        <v>50</v>
      </c>
    </row>
    <row r="100" customFormat="false" ht="15" hidden="false" customHeight="false" outlineLevel="0" collapsed="false">
      <c r="A100" s="12" t="s">
        <v>36</v>
      </c>
      <c r="B100" s="7" t="s">
        <v>37</v>
      </c>
      <c r="C100" s="12" t="s">
        <v>60</v>
      </c>
      <c r="D100" s="7" t="s">
        <v>32</v>
      </c>
      <c r="E100" s="7" t="s">
        <v>40</v>
      </c>
      <c r="F100" s="12" t="n">
        <f aca="false">IF(D100=E100,1,0)</f>
        <v>0</v>
      </c>
      <c r="G100" s="13" t="n">
        <v>-0.0066225165562914</v>
      </c>
      <c r="H100" s="14" t="n">
        <v>0.552015716509916</v>
      </c>
      <c r="I100" s="14" t="n">
        <v>0.265717049284904</v>
      </c>
      <c r="J100" s="14" t="n">
        <v>0.18226723420518</v>
      </c>
      <c r="K100" s="12" t="s">
        <v>33</v>
      </c>
      <c r="L100" s="15" t="n">
        <v>833</v>
      </c>
      <c r="M100" s="15" t="n">
        <v>50</v>
      </c>
    </row>
    <row r="101" customFormat="false" ht="15" hidden="false" customHeight="false" outlineLevel="0" collapsed="false">
      <c r="A101" s="12" t="s">
        <v>38</v>
      </c>
      <c r="B101" s="7" t="s">
        <v>39</v>
      </c>
      <c r="C101" s="12" t="s">
        <v>60</v>
      </c>
      <c r="D101" s="7" t="s">
        <v>31</v>
      </c>
      <c r="E101" s="7" t="s">
        <v>31</v>
      </c>
      <c r="F101" s="12" t="n">
        <f aca="false">IF(D101=E101,1,0)</f>
        <v>1</v>
      </c>
      <c r="G101" s="13" t="n">
        <v>0.295687885010267</v>
      </c>
      <c r="H101" s="14" t="n">
        <v>0.367211559227515</v>
      </c>
      <c r="I101" s="14" t="n">
        <v>0.221895988036931</v>
      </c>
      <c r="J101" s="14" t="n">
        <v>0.410892452735554</v>
      </c>
      <c r="K101" s="12" t="s">
        <v>33</v>
      </c>
      <c r="L101" s="15" t="n">
        <v>833</v>
      </c>
      <c r="M101" s="15" t="n">
        <v>50</v>
      </c>
    </row>
    <row r="102" customFormat="false" ht="15" hidden="false" customHeight="false" outlineLevel="0" collapsed="false">
      <c r="A102" s="12" t="s">
        <v>41</v>
      </c>
      <c r="B102" s="7" t="s">
        <v>42</v>
      </c>
      <c r="C102" s="12" t="s">
        <v>60</v>
      </c>
      <c r="D102" s="7" t="s">
        <v>40</v>
      </c>
      <c r="E102" s="7" t="s">
        <v>31</v>
      </c>
      <c r="F102" s="12" t="n">
        <f aca="false">IF(D102=E102,1,0)</f>
        <v>0</v>
      </c>
      <c r="G102" s="13" t="n">
        <v>0.0426065162907267</v>
      </c>
      <c r="H102" s="14" t="n">
        <v>0.158607795930131</v>
      </c>
      <c r="I102" s="14" t="n">
        <v>0.540372119344107</v>
      </c>
      <c r="J102" s="14" t="n">
        <v>0.301020084725762</v>
      </c>
      <c r="K102" s="12" t="s">
        <v>33</v>
      </c>
      <c r="L102" s="15" t="n">
        <v>833</v>
      </c>
      <c r="M102" s="15" t="n">
        <v>50</v>
      </c>
    </row>
    <row r="103" customFormat="false" ht="15" hidden="false" customHeight="false" outlineLevel="0" collapsed="false">
      <c r="A103" s="12" t="s">
        <v>43</v>
      </c>
      <c r="B103" s="7" t="s">
        <v>44</v>
      </c>
      <c r="C103" s="12" t="s">
        <v>60</v>
      </c>
      <c r="D103" s="7" t="s">
        <v>40</v>
      </c>
      <c r="E103" s="7" t="s">
        <v>31</v>
      </c>
      <c r="F103" s="12" t="n">
        <f aca="false">IF(D103=E103,1,0)</f>
        <v>0</v>
      </c>
      <c r="G103" s="13" t="n">
        <v>0.036241610738255</v>
      </c>
      <c r="H103" s="14" t="n">
        <v>0.21697501627183</v>
      </c>
      <c r="I103" s="14" t="n">
        <v>0.582002889807188</v>
      </c>
      <c r="J103" s="14" t="n">
        <v>0.201022093920982</v>
      </c>
      <c r="K103" s="12" t="s">
        <v>33</v>
      </c>
      <c r="L103" s="15" t="n">
        <v>833</v>
      </c>
      <c r="M103" s="15" t="n">
        <v>50</v>
      </c>
    </row>
    <row r="104" customFormat="false" ht="15" hidden="false" customHeight="false" outlineLevel="0" collapsed="false">
      <c r="A104" s="12" t="s">
        <v>28</v>
      </c>
      <c r="B104" s="7" t="s">
        <v>29</v>
      </c>
      <c r="C104" s="12" t="s">
        <v>61</v>
      </c>
      <c r="D104" s="7" t="s">
        <v>32</v>
      </c>
      <c r="E104" s="7" t="s">
        <v>31</v>
      </c>
      <c r="F104" s="12" t="n">
        <f aca="false">IF(D104=E104,1,0)</f>
        <v>0</v>
      </c>
      <c r="G104" s="13" t="n">
        <v>0.04</v>
      </c>
      <c r="H104" s="14" t="n">
        <v>0.530420168301339</v>
      </c>
      <c r="I104" s="14" t="n">
        <v>0.176599742517898</v>
      </c>
      <c r="J104" s="14" t="n">
        <v>0.292980089180764</v>
      </c>
      <c r="K104" s="12" t="s">
        <v>33</v>
      </c>
      <c r="L104" s="15" t="n">
        <v>833</v>
      </c>
      <c r="M104" s="15" t="n">
        <v>50</v>
      </c>
    </row>
    <row r="105" customFormat="false" ht="15" hidden="false" customHeight="false" outlineLevel="0" collapsed="false">
      <c r="A105" s="12" t="s">
        <v>34</v>
      </c>
      <c r="B105" s="7" t="s">
        <v>35</v>
      </c>
      <c r="C105" s="12" t="s">
        <v>61</v>
      </c>
      <c r="D105" s="7" t="s">
        <v>31</v>
      </c>
      <c r="E105" s="7" t="s">
        <v>31</v>
      </c>
      <c r="F105" s="12" t="n">
        <f aca="false">IF(D105=E105,1,0)</f>
        <v>1</v>
      </c>
      <c r="G105" s="13" t="n">
        <v>0.117516629711752</v>
      </c>
      <c r="H105" s="14" t="n">
        <v>0.356299750478067</v>
      </c>
      <c r="I105" s="14" t="n">
        <v>0.189904795951596</v>
      </c>
      <c r="J105" s="14" t="n">
        <v>0.453795453570337</v>
      </c>
      <c r="K105" s="12" t="s">
        <v>33</v>
      </c>
      <c r="L105" s="15" t="n">
        <v>833</v>
      </c>
      <c r="M105" s="15" t="n">
        <v>50</v>
      </c>
    </row>
    <row r="106" customFormat="false" ht="15" hidden="false" customHeight="false" outlineLevel="0" collapsed="false">
      <c r="A106" s="12" t="s">
        <v>36</v>
      </c>
      <c r="B106" s="7" t="s">
        <v>37</v>
      </c>
      <c r="C106" s="12" t="s">
        <v>61</v>
      </c>
      <c r="D106" s="7" t="s">
        <v>32</v>
      </c>
      <c r="E106" s="7" t="s">
        <v>31</v>
      </c>
      <c r="F106" s="12" t="n">
        <f aca="false">IF(D106=E106,1,0)</f>
        <v>0</v>
      </c>
      <c r="G106" s="13" t="n">
        <v>0.0158013544018058</v>
      </c>
      <c r="H106" s="14" t="n">
        <v>0.573239031192711</v>
      </c>
      <c r="I106" s="14" t="n">
        <v>0.188811396551636</v>
      </c>
      <c r="J106" s="14" t="n">
        <v>0.237949572255653</v>
      </c>
      <c r="K106" s="12" t="s">
        <v>33</v>
      </c>
      <c r="L106" s="15" t="n">
        <v>833</v>
      </c>
      <c r="M106" s="15" t="n">
        <v>50</v>
      </c>
    </row>
    <row r="107" customFormat="false" ht="15" hidden="false" customHeight="false" outlineLevel="0" collapsed="false">
      <c r="A107" s="12" t="s">
        <v>38</v>
      </c>
      <c r="B107" s="7" t="s">
        <v>39</v>
      </c>
      <c r="C107" s="12" t="s">
        <v>61</v>
      </c>
      <c r="D107" s="7" t="s">
        <v>31</v>
      </c>
      <c r="E107" s="7" t="s">
        <v>31</v>
      </c>
      <c r="F107" s="12" t="n">
        <f aca="false">IF(D107=E107,1,0)</f>
        <v>1</v>
      </c>
      <c r="G107" s="13" t="n">
        <v>0.311663479923518</v>
      </c>
      <c r="H107" s="14" t="n">
        <v>0.342044322925752</v>
      </c>
      <c r="I107" s="14" t="n">
        <v>0.270016624463784</v>
      </c>
      <c r="J107" s="14" t="n">
        <v>0.387939052610464</v>
      </c>
      <c r="K107" s="12" t="s">
        <v>33</v>
      </c>
      <c r="L107" s="15" t="n">
        <v>833</v>
      </c>
      <c r="M107" s="15" t="n">
        <v>50</v>
      </c>
    </row>
    <row r="108" customFormat="false" ht="15" hidden="false" customHeight="false" outlineLevel="0" collapsed="false">
      <c r="A108" s="12" t="s">
        <v>41</v>
      </c>
      <c r="B108" s="7" t="s">
        <v>42</v>
      </c>
      <c r="C108" s="12" t="s">
        <v>61</v>
      </c>
      <c r="D108" s="7" t="s">
        <v>31</v>
      </c>
      <c r="E108" s="7" t="s">
        <v>31</v>
      </c>
      <c r="F108" s="12" t="n">
        <f aca="false">IF(D108=E108,1,0)</f>
        <v>1</v>
      </c>
      <c r="G108" s="13" t="n">
        <v>0.06</v>
      </c>
      <c r="H108" s="14" t="n">
        <v>0.240663874534081</v>
      </c>
      <c r="I108" s="14" t="n">
        <v>0.30823077264578</v>
      </c>
      <c r="J108" s="14" t="n">
        <v>0.451105352820139</v>
      </c>
      <c r="K108" s="12" t="s">
        <v>33</v>
      </c>
      <c r="L108" s="15" t="n">
        <v>833</v>
      </c>
      <c r="M108" s="15" t="n">
        <v>50</v>
      </c>
    </row>
    <row r="109" customFormat="false" ht="15" hidden="false" customHeight="false" outlineLevel="0" collapsed="false">
      <c r="A109" s="12" t="s">
        <v>43</v>
      </c>
      <c r="B109" s="7" t="s">
        <v>44</v>
      </c>
      <c r="C109" s="12" t="s">
        <v>61</v>
      </c>
      <c r="D109" s="7" t="s">
        <v>32</v>
      </c>
      <c r="E109" s="7" t="s">
        <v>31</v>
      </c>
      <c r="F109" s="12" t="n">
        <f aca="false">IF(D109=E109,1,0)</f>
        <v>0</v>
      </c>
      <c r="G109" s="13" t="n">
        <v>0.0535475234270415</v>
      </c>
      <c r="H109" s="14" t="n">
        <v>0.36784457801611</v>
      </c>
      <c r="I109" s="14" t="n">
        <v>0.332951105315584</v>
      </c>
      <c r="J109" s="14" t="n">
        <v>0.299204316668305</v>
      </c>
      <c r="K109" s="12" t="s">
        <v>33</v>
      </c>
      <c r="L109" s="15" t="n">
        <v>833</v>
      </c>
      <c r="M109" s="15" t="n">
        <v>50</v>
      </c>
    </row>
    <row r="110" customFormat="false" ht="15" hidden="false" customHeight="false" outlineLevel="0" collapsed="false">
      <c r="A110" s="12" t="s">
        <v>28</v>
      </c>
      <c r="B110" s="7" t="s">
        <v>29</v>
      </c>
      <c r="C110" s="12" t="s">
        <v>62</v>
      </c>
      <c r="D110" s="7" t="s">
        <v>32</v>
      </c>
      <c r="E110" s="7" t="s">
        <v>31</v>
      </c>
      <c r="F110" s="12" t="n">
        <f aca="false">IF(D110=E110,1,0)</f>
        <v>0</v>
      </c>
      <c r="G110" s="13" t="n">
        <v>0.0531177829099307</v>
      </c>
      <c r="H110" s="14" t="n">
        <v>0.423693621982591</v>
      </c>
      <c r="I110" s="14" t="n">
        <v>0.300386758578449</v>
      </c>
      <c r="J110" s="14" t="n">
        <v>0.275919619438961</v>
      </c>
      <c r="K110" s="12" t="s">
        <v>33</v>
      </c>
      <c r="L110" s="15" t="n">
        <v>833</v>
      </c>
      <c r="M110" s="15" t="n">
        <v>50</v>
      </c>
    </row>
    <row r="111" customFormat="false" ht="15" hidden="false" customHeight="false" outlineLevel="0" collapsed="false">
      <c r="A111" s="12" t="s">
        <v>34</v>
      </c>
      <c r="B111" s="7" t="s">
        <v>35</v>
      </c>
      <c r="C111" s="12" t="s">
        <v>62</v>
      </c>
      <c r="D111" s="7" t="s">
        <v>32</v>
      </c>
      <c r="E111" s="7" t="s">
        <v>31</v>
      </c>
      <c r="F111" s="12" t="n">
        <f aca="false">IF(D111=E111,1,0)</f>
        <v>0</v>
      </c>
      <c r="G111" s="13" t="n">
        <v>0.126666666666667</v>
      </c>
      <c r="H111" s="14" t="n">
        <v>0.4440789485415</v>
      </c>
      <c r="I111" s="14" t="n">
        <v>0.284275037683794</v>
      </c>
      <c r="J111" s="14" t="n">
        <v>0.271646013774706</v>
      </c>
      <c r="K111" s="12" t="s">
        <v>33</v>
      </c>
      <c r="L111" s="15" t="n">
        <v>833</v>
      </c>
      <c r="M111" s="15" t="n">
        <v>50</v>
      </c>
    </row>
    <row r="112" customFormat="false" ht="15" hidden="false" customHeight="false" outlineLevel="0" collapsed="false">
      <c r="A112" s="12" t="s">
        <v>36</v>
      </c>
      <c r="B112" s="7" t="s">
        <v>37</v>
      </c>
      <c r="C112" s="12" t="s">
        <v>62</v>
      </c>
      <c r="D112" s="7" t="s">
        <v>32</v>
      </c>
      <c r="E112" s="7" t="s">
        <v>31</v>
      </c>
      <c r="F112" s="12" t="n">
        <f aca="false">IF(D112=E112,1,0)</f>
        <v>0</v>
      </c>
      <c r="G112" s="13" t="n">
        <v>0.0596330275229357</v>
      </c>
      <c r="H112" s="14" t="n">
        <v>0.409977295749736</v>
      </c>
      <c r="I112" s="14" t="n">
        <v>0.244160323672396</v>
      </c>
      <c r="J112" s="14" t="n">
        <v>0.345862380577869</v>
      </c>
      <c r="K112" s="12" t="s">
        <v>33</v>
      </c>
      <c r="L112" s="15" t="n">
        <v>833</v>
      </c>
      <c r="M112" s="15" t="n">
        <v>50</v>
      </c>
    </row>
    <row r="113" customFormat="false" ht="15" hidden="false" customHeight="false" outlineLevel="0" collapsed="false">
      <c r="A113" s="12" t="s">
        <v>38</v>
      </c>
      <c r="B113" s="7" t="s">
        <v>39</v>
      </c>
      <c r="C113" s="12" t="s">
        <v>62</v>
      </c>
      <c r="D113" s="7" t="s">
        <v>32</v>
      </c>
      <c r="E113" s="7" t="s">
        <v>31</v>
      </c>
      <c r="F113" s="12" t="n">
        <f aca="false">IF(D113=E113,1,0)</f>
        <v>0</v>
      </c>
      <c r="G113" s="13" t="n">
        <v>0.328155339805825</v>
      </c>
      <c r="H113" s="14" t="n">
        <v>0.429524077060639</v>
      </c>
      <c r="I113" s="14" t="n">
        <v>0.296148194676504</v>
      </c>
      <c r="J113" s="14" t="n">
        <v>0.274327728262857</v>
      </c>
      <c r="K113" s="12" t="s">
        <v>33</v>
      </c>
      <c r="L113" s="15" t="n">
        <v>833</v>
      </c>
      <c r="M113" s="15" t="n">
        <v>50</v>
      </c>
    </row>
    <row r="114" customFormat="false" ht="15" hidden="false" customHeight="false" outlineLevel="0" collapsed="false">
      <c r="A114" s="12" t="s">
        <v>41</v>
      </c>
      <c r="B114" s="7" t="s">
        <v>42</v>
      </c>
      <c r="C114" s="12" t="s">
        <v>62</v>
      </c>
      <c r="D114" s="7" t="s">
        <v>32</v>
      </c>
      <c r="E114" s="7" t="s">
        <v>31</v>
      </c>
      <c r="F114" s="12" t="n">
        <f aca="false">IF(D114=E114,1,0)</f>
        <v>0</v>
      </c>
      <c r="G114" s="13" t="n">
        <v>0.0595533498759304</v>
      </c>
      <c r="H114" s="14" t="n">
        <v>0.367458157457744</v>
      </c>
      <c r="I114" s="14" t="n">
        <v>0.306597581361837</v>
      </c>
      <c r="J114" s="14" t="n">
        <v>0.325944261180419</v>
      </c>
      <c r="K114" s="12" t="s">
        <v>33</v>
      </c>
      <c r="L114" s="15" t="n">
        <v>833</v>
      </c>
      <c r="M114" s="15" t="n">
        <v>50</v>
      </c>
    </row>
    <row r="115" customFormat="false" ht="15" hidden="false" customHeight="false" outlineLevel="0" collapsed="false">
      <c r="A115" s="12" t="s">
        <v>43</v>
      </c>
      <c r="B115" s="7" t="s">
        <v>44</v>
      </c>
      <c r="C115" s="12" t="s">
        <v>62</v>
      </c>
      <c r="D115" s="7" t="s">
        <v>31</v>
      </c>
      <c r="E115" s="7" t="s">
        <v>40</v>
      </c>
      <c r="F115" s="12" t="n">
        <f aca="false">IF(D115=E115,1,0)</f>
        <v>0</v>
      </c>
      <c r="G115" s="13" t="n">
        <v>0.0050890585241731</v>
      </c>
      <c r="H115" s="14" t="n">
        <v>0.382061587867558</v>
      </c>
      <c r="I115" s="14" t="n">
        <v>0.23545999868453</v>
      </c>
      <c r="J115" s="14" t="n">
        <v>0.382478413447912</v>
      </c>
      <c r="K115" s="12" t="s">
        <v>33</v>
      </c>
      <c r="L115" s="15" t="n">
        <v>833</v>
      </c>
      <c r="M115" s="15" t="n">
        <v>50</v>
      </c>
    </row>
    <row r="116" customFormat="false" ht="15" hidden="false" customHeight="false" outlineLevel="0" collapsed="false">
      <c r="A116" s="12" t="s">
        <v>28</v>
      </c>
      <c r="B116" s="7" t="s">
        <v>29</v>
      </c>
      <c r="C116" s="12" t="s">
        <v>63</v>
      </c>
      <c r="D116" s="7" t="s">
        <v>31</v>
      </c>
      <c r="E116" s="7" t="s">
        <v>31</v>
      </c>
      <c r="F116" s="12" t="n">
        <f aca="false">IF(D116=E116,1,0)</f>
        <v>1</v>
      </c>
      <c r="G116" s="13" t="n">
        <v>0.0161662817551964</v>
      </c>
      <c r="H116" s="14" t="n">
        <v>0.348101595340059</v>
      </c>
      <c r="I116" s="14" t="n">
        <v>0.219306922234447</v>
      </c>
      <c r="J116" s="14" t="n">
        <v>0.432591482425494</v>
      </c>
      <c r="K116" s="12" t="s">
        <v>33</v>
      </c>
      <c r="L116" s="15" t="n">
        <v>833</v>
      </c>
      <c r="M116" s="15" t="n">
        <v>50</v>
      </c>
    </row>
    <row r="117" customFormat="false" ht="15" hidden="false" customHeight="false" outlineLevel="0" collapsed="false">
      <c r="A117" s="12" t="s">
        <v>34</v>
      </c>
      <c r="B117" s="7" t="s">
        <v>35</v>
      </c>
      <c r="C117" s="12" t="s">
        <v>63</v>
      </c>
      <c r="D117" s="7" t="s">
        <v>31</v>
      </c>
      <c r="E117" s="7" t="s">
        <v>31</v>
      </c>
      <c r="F117" s="12" t="n">
        <f aca="false">IF(D117=E117,1,0)</f>
        <v>1</v>
      </c>
      <c r="G117" s="13" t="n">
        <v>0.138952164009112</v>
      </c>
      <c r="H117" s="14" t="n">
        <v>0.35587528198511</v>
      </c>
      <c r="I117" s="14" t="n">
        <v>0.236674302063503</v>
      </c>
      <c r="J117" s="14" t="n">
        <v>0.407450415951387</v>
      </c>
      <c r="K117" s="12" t="s">
        <v>33</v>
      </c>
      <c r="L117" s="15" t="n">
        <v>833</v>
      </c>
      <c r="M117" s="15" t="n">
        <v>50</v>
      </c>
    </row>
    <row r="118" customFormat="false" ht="15" hidden="false" customHeight="false" outlineLevel="0" collapsed="false">
      <c r="A118" s="12" t="s">
        <v>36</v>
      </c>
      <c r="B118" s="7" t="s">
        <v>37</v>
      </c>
      <c r="C118" s="12" t="s">
        <v>63</v>
      </c>
      <c r="D118" s="7" t="s">
        <v>32</v>
      </c>
      <c r="E118" s="7" t="s">
        <v>31</v>
      </c>
      <c r="F118" s="12" t="n">
        <f aca="false">IF(D118=E118,1,0)</f>
        <v>0</v>
      </c>
      <c r="G118" s="13" t="n">
        <v>0.0725995316159251</v>
      </c>
      <c r="H118" s="14" t="n">
        <v>0.485244121319889</v>
      </c>
      <c r="I118" s="14" t="n">
        <v>0.198753544577339</v>
      </c>
      <c r="J118" s="14" t="n">
        <v>0.316002334102773</v>
      </c>
      <c r="K118" s="12" t="s">
        <v>33</v>
      </c>
      <c r="L118" s="15" t="n">
        <v>833</v>
      </c>
      <c r="M118" s="15" t="n">
        <v>50</v>
      </c>
    </row>
    <row r="119" customFormat="false" ht="15" hidden="false" customHeight="false" outlineLevel="0" collapsed="false">
      <c r="A119" s="12" t="s">
        <v>38</v>
      </c>
      <c r="B119" s="7" t="s">
        <v>39</v>
      </c>
      <c r="C119" s="12" t="s">
        <v>63</v>
      </c>
      <c r="D119" s="7" t="s">
        <v>31</v>
      </c>
      <c r="E119" s="7" t="s">
        <v>31</v>
      </c>
      <c r="F119" s="12" t="n">
        <f aca="false">IF(D119=E119,1,0)</f>
        <v>1</v>
      </c>
      <c r="G119" s="13" t="n">
        <v>0.390804597701149</v>
      </c>
      <c r="H119" s="14" t="n">
        <v>0.36178345332658</v>
      </c>
      <c r="I119" s="14" t="n">
        <v>0.221628669638033</v>
      </c>
      <c r="J119" s="14" t="n">
        <v>0.416587877035388</v>
      </c>
      <c r="K119" s="12" t="s">
        <v>33</v>
      </c>
      <c r="L119" s="15" t="n">
        <v>833</v>
      </c>
      <c r="M119" s="15" t="n">
        <v>50</v>
      </c>
    </row>
    <row r="120" customFormat="false" ht="15" hidden="false" customHeight="false" outlineLevel="0" collapsed="false">
      <c r="A120" s="12" t="s">
        <v>41</v>
      </c>
      <c r="B120" s="7" t="s">
        <v>42</v>
      </c>
      <c r="C120" s="12" t="s">
        <v>63</v>
      </c>
      <c r="D120" s="7" t="s">
        <v>40</v>
      </c>
      <c r="E120" s="7" t="s">
        <v>31</v>
      </c>
      <c r="F120" s="12" t="n">
        <f aca="false">IF(D120=E120,1,0)</f>
        <v>0</v>
      </c>
      <c r="G120" s="13" t="n">
        <v>0.047029702970297</v>
      </c>
      <c r="H120" s="14" t="n">
        <v>0.287273641722093</v>
      </c>
      <c r="I120" s="14" t="n">
        <v>0.438074822680182</v>
      </c>
      <c r="J120" s="14" t="n">
        <v>0.274651535597724</v>
      </c>
      <c r="K120" s="12" t="s">
        <v>33</v>
      </c>
      <c r="L120" s="15" t="n">
        <v>833</v>
      </c>
      <c r="M120" s="15" t="n">
        <v>50</v>
      </c>
    </row>
    <row r="121" customFormat="false" ht="15" hidden="false" customHeight="false" outlineLevel="0" collapsed="false">
      <c r="A121" s="12" t="s">
        <v>43</v>
      </c>
      <c r="B121" s="7" t="s">
        <v>44</v>
      </c>
      <c r="C121" s="12" t="s">
        <v>63</v>
      </c>
      <c r="D121" s="7" t="s">
        <v>32</v>
      </c>
      <c r="E121" s="7" t="s">
        <v>31</v>
      </c>
      <c r="F121" s="12" t="n">
        <f aca="false">IF(D121=E121,1,0)</f>
        <v>0</v>
      </c>
      <c r="G121" s="13" t="n">
        <v>0.0362694300518133</v>
      </c>
      <c r="H121" s="14" t="n">
        <v>0.426424415262113</v>
      </c>
      <c r="I121" s="14" t="n">
        <v>0.283655858553842</v>
      </c>
      <c r="J121" s="14" t="n">
        <v>0.289919726184045</v>
      </c>
      <c r="K121" s="12" t="s">
        <v>33</v>
      </c>
      <c r="L121" s="15" t="n">
        <v>833</v>
      </c>
      <c r="M121" s="15" t="n">
        <v>50</v>
      </c>
    </row>
    <row r="122" customFormat="false" ht="15" hidden="false" customHeight="false" outlineLevel="0" collapsed="false">
      <c r="A122" s="12" t="s">
        <v>28</v>
      </c>
      <c r="B122" s="7" t="s">
        <v>29</v>
      </c>
      <c r="C122" s="12" t="s">
        <v>64</v>
      </c>
      <c r="D122" s="7" t="s">
        <v>31</v>
      </c>
      <c r="E122" s="7" t="s">
        <v>40</v>
      </c>
      <c r="F122" s="12" t="n">
        <f aca="false">IF(D122=E122,1,0)</f>
        <v>0</v>
      </c>
      <c r="G122" s="13" t="n">
        <v>0.0112612612612612</v>
      </c>
      <c r="H122" s="14" t="n">
        <v>0.335769099213086</v>
      </c>
      <c r="I122" s="14" t="n">
        <v>0.307479592659741</v>
      </c>
      <c r="J122" s="14" t="n">
        <v>0.356751308127173</v>
      </c>
      <c r="K122" s="12" t="s">
        <v>65</v>
      </c>
      <c r="L122" s="15" t="n">
        <v>953</v>
      </c>
      <c r="M122" s="15" t="n">
        <v>4</v>
      </c>
    </row>
    <row r="123" customFormat="false" ht="15" hidden="false" customHeight="false" outlineLevel="0" collapsed="false">
      <c r="A123" s="12" t="s">
        <v>34</v>
      </c>
      <c r="B123" s="7" t="s">
        <v>35</v>
      </c>
      <c r="C123" s="12" t="s">
        <v>64</v>
      </c>
      <c r="D123" s="7" t="s">
        <v>31</v>
      </c>
      <c r="E123" s="7" t="s">
        <v>31</v>
      </c>
      <c r="F123" s="12" t="n">
        <f aca="false">IF(D123=E123,1,0)</f>
        <v>1</v>
      </c>
      <c r="G123" s="13" t="n">
        <v>0.107692307692308</v>
      </c>
      <c r="H123" s="14" t="n">
        <v>0.338571845196578</v>
      </c>
      <c r="I123" s="14" t="n">
        <v>0.302488897362718</v>
      </c>
      <c r="J123" s="14" t="n">
        <v>0.358939257440704</v>
      </c>
      <c r="K123" s="12" t="s">
        <v>65</v>
      </c>
      <c r="L123" s="15" t="n">
        <v>953</v>
      </c>
      <c r="M123" s="15" t="n">
        <v>4</v>
      </c>
    </row>
    <row r="124" customFormat="false" ht="15" hidden="false" customHeight="false" outlineLevel="0" collapsed="false">
      <c r="A124" s="12" t="s">
        <v>36</v>
      </c>
      <c r="B124" s="7" t="s">
        <v>37</v>
      </c>
      <c r="C124" s="12" t="s">
        <v>64</v>
      </c>
      <c r="D124" s="7" t="s">
        <v>31</v>
      </c>
      <c r="E124" s="7" t="s">
        <v>32</v>
      </c>
      <c r="F124" s="12" t="n">
        <f aca="false">IF(D124=E124,1,0)</f>
        <v>0</v>
      </c>
      <c r="G124" s="13" t="n">
        <v>-0.0175824175824176</v>
      </c>
      <c r="H124" s="14" t="n">
        <v>0.344462238574097</v>
      </c>
      <c r="I124" s="14" t="n">
        <v>0.307751528095536</v>
      </c>
      <c r="J124" s="14" t="n">
        <v>0.347786233330367</v>
      </c>
      <c r="K124" s="12" t="s">
        <v>65</v>
      </c>
      <c r="L124" s="15" t="n">
        <v>953</v>
      </c>
      <c r="M124" s="15" t="n">
        <v>4</v>
      </c>
    </row>
    <row r="125" customFormat="false" ht="15" hidden="false" customHeight="false" outlineLevel="0" collapsed="false">
      <c r="A125" s="12" t="s">
        <v>41</v>
      </c>
      <c r="B125" s="7" t="s">
        <v>42</v>
      </c>
      <c r="C125" s="12" t="s">
        <v>64</v>
      </c>
      <c r="D125" s="7" t="s">
        <v>40</v>
      </c>
      <c r="E125" s="7" t="s">
        <v>31</v>
      </c>
      <c r="F125" s="12" t="n">
        <f aca="false">IF(D125=E125,1,0)</f>
        <v>0</v>
      </c>
      <c r="G125" s="13" t="n">
        <v>0.0388349514563106</v>
      </c>
      <c r="H125" s="14" t="n">
        <v>0.328715804320834</v>
      </c>
      <c r="I125" s="14" t="n">
        <v>0.341573916578415</v>
      </c>
      <c r="J125" s="14" t="n">
        <v>0.329710279100751</v>
      </c>
      <c r="K125" s="12" t="s">
        <v>65</v>
      </c>
      <c r="L125" s="15" t="n">
        <v>953</v>
      </c>
      <c r="M125" s="15" t="n">
        <v>4</v>
      </c>
    </row>
    <row r="126" customFormat="false" ht="15" hidden="false" customHeight="false" outlineLevel="0" collapsed="false">
      <c r="A126" s="12" t="s">
        <v>43</v>
      </c>
      <c r="B126" s="7" t="s">
        <v>44</v>
      </c>
      <c r="C126" s="12" t="s">
        <v>64</v>
      </c>
      <c r="D126" s="7" t="s">
        <v>32</v>
      </c>
      <c r="E126" s="7" t="s">
        <v>31</v>
      </c>
      <c r="F126" s="12" t="n">
        <f aca="false">IF(D126=E126,1,0)</f>
        <v>0</v>
      </c>
      <c r="G126" s="13" t="n">
        <v>0.0288713910761155</v>
      </c>
      <c r="H126" s="14" t="n">
        <v>0.338889622129821</v>
      </c>
      <c r="I126" s="14" t="n">
        <v>0.328620166462608</v>
      </c>
      <c r="J126" s="14" t="n">
        <v>0.332490211407571</v>
      </c>
      <c r="K126" s="12" t="s">
        <v>65</v>
      </c>
      <c r="L126" s="15" t="n">
        <v>953</v>
      </c>
      <c r="M126" s="15" t="n">
        <v>4</v>
      </c>
    </row>
    <row r="127" customFormat="false" ht="15" hidden="false" customHeight="false" outlineLevel="0" collapsed="false">
      <c r="A127" s="12" t="s">
        <v>28</v>
      </c>
      <c r="B127" s="7" t="s">
        <v>29</v>
      </c>
      <c r="C127" s="12" t="s">
        <v>66</v>
      </c>
      <c r="D127" s="7" t="s">
        <v>31</v>
      </c>
      <c r="E127" s="7" t="s">
        <v>31</v>
      </c>
      <c r="F127" s="12" t="n">
        <f aca="false">IF(D127=E127,1,0)</f>
        <v>1</v>
      </c>
      <c r="G127" s="13" t="n">
        <v>0.0138568129330254</v>
      </c>
      <c r="H127" s="14" t="n">
        <v>0.327884220099139</v>
      </c>
      <c r="I127" s="14" t="n">
        <v>0.318888897607002</v>
      </c>
      <c r="J127" s="14" t="n">
        <v>0.353226882293859</v>
      </c>
      <c r="K127" s="12" t="s">
        <v>65</v>
      </c>
      <c r="L127" s="15" t="n">
        <v>953</v>
      </c>
      <c r="M127" s="15" t="n">
        <v>4</v>
      </c>
    </row>
    <row r="128" customFormat="false" ht="15" hidden="false" customHeight="false" outlineLevel="0" collapsed="false">
      <c r="A128" s="12" t="s">
        <v>34</v>
      </c>
      <c r="B128" s="7" t="s">
        <v>35</v>
      </c>
      <c r="C128" s="12" t="s">
        <v>66</v>
      </c>
      <c r="D128" s="7" t="s">
        <v>31</v>
      </c>
      <c r="E128" s="7" t="s">
        <v>31</v>
      </c>
      <c r="F128" s="12" t="n">
        <f aca="false">IF(D128=E128,1,0)</f>
        <v>1</v>
      </c>
      <c r="G128" s="13" t="n">
        <v>0.0438413361169103</v>
      </c>
      <c r="H128" s="14" t="n">
        <v>0.338571845196578</v>
      </c>
      <c r="I128" s="14" t="n">
        <v>0.302488897362718</v>
      </c>
      <c r="J128" s="14" t="n">
        <v>0.358939257440704</v>
      </c>
      <c r="K128" s="12" t="s">
        <v>65</v>
      </c>
      <c r="L128" s="15" t="n">
        <v>953</v>
      </c>
      <c r="M128" s="15" t="n">
        <v>4</v>
      </c>
    </row>
    <row r="129" customFormat="false" ht="15" hidden="false" customHeight="false" outlineLevel="0" collapsed="false">
      <c r="A129" s="12" t="s">
        <v>36</v>
      </c>
      <c r="B129" s="7" t="s">
        <v>37</v>
      </c>
      <c r="C129" s="12" t="s">
        <v>66</v>
      </c>
      <c r="D129" s="7" t="s">
        <v>31</v>
      </c>
      <c r="E129" s="7" t="s">
        <v>40</v>
      </c>
      <c r="F129" s="12" t="n">
        <f aca="false">IF(D129=E129,1,0)</f>
        <v>0</v>
      </c>
      <c r="G129" s="13" t="n">
        <v>0.0022222222222221</v>
      </c>
      <c r="H129" s="14" t="n">
        <v>0.329050055245166</v>
      </c>
      <c r="I129" s="14" t="n">
        <v>0.279751813653733</v>
      </c>
      <c r="J129" s="14" t="n">
        <v>0.391198131101101</v>
      </c>
      <c r="K129" s="12" t="s">
        <v>65</v>
      </c>
      <c r="L129" s="15" t="n">
        <v>953</v>
      </c>
      <c r="M129" s="15" t="n">
        <v>4</v>
      </c>
    </row>
    <row r="130" customFormat="false" ht="15" hidden="false" customHeight="false" outlineLevel="0" collapsed="false">
      <c r="A130" s="12" t="s">
        <v>41</v>
      </c>
      <c r="B130" s="7" t="s">
        <v>42</v>
      </c>
      <c r="C130" s="12" t="s">
        <v>66</v>
      </c>
      <c r="D130" s="7" t="s">
        <v>40</v>
      </c>
      <c r="E130" s="7" t="s">
        <v>31</v>
      </c>
      <c r="F130" s="12" t="n">
        <f aca="false">IF(D130=E130,1,0)</f>
        <v>0</v>
      </c>
      <c r="G130" s="13" t="n">
        <v>0.0288461538461537</v>
      </c>
      <c r="H130" s="14" t="n">
        <v>0.324004960450239</v>
      </c>
      <c r="I130" s="14" t="n">
        <v>0.34820251447529</v>
      </c>
      <c r="J130" s="14" t="n">
        <v>0.327792525074472</v>
      </c>
      <c r="K130" s="12" t="s">
        <v>65</v>
      </c>
      <c r="L130" s="15" t="n">
        <v>953</v>
      </c>
      <c r="M130" s="15" t="n">
        <v>4</v>
      </c>
    </row>
    <row r="131" customFormat="false" ht="15" hidden="false" customHeight="false" outlineLevel="0" collapsed="false">
      <c r="A131" s="12" t="s">
        <v>43</v>
      </c>
      <c r="B131" s="7" t="s">
        <v>44</v>
      </c>
      <c r="C131" s="12" t="s">
        <v>66</v>
      </c>
      <c r="D131" s="7" t="s">
        <v>32</v>
      </c>
      <c r="E131" s="7" t="s">
        <v>40</v>
      </c>
      <c r="F131" s="12" t="n">
        <f aca="false">IF(D131=E131,1,0)</f>
        <v>0</v>
      </c>
      <c r="G131" s="13" t="n">
        <v>-0.010362694300518</v>
      </c>
      <c r="H131" s="14" t="n">
        <v>0.361687087513379</v>
      </c>
      <c r="I131" s="14" t="n">
        <v>0.314070374280357</v>
      </c>
      <c r="J131" s="14" t="n">
        <v>0.324242538206264</v>
      </c>
      <c r="K131" s="12" t="s">
        <v>65</v>
      </c>
      <c r="L131" s="15" t="n">
        <v>953</v>
      </c>
      <c r="M131" s="15" t="n">
        <v>4</v>
      </c>
    </row>
    <row r="132" customFormat="false" ht="15" hidden="false" customHeight="false" outlineLevel="0" collapsed="false">
      <c r="A132" s="12" t="s">
        <v>28</v>
      </c>
      <c r="B132" s="7" t="s">
        <v>29</v>
      </c>
      <c r="C132" s="12" t="s">
        <v>67</v>
      </c>
      <c r="D132" s="7" t="s">
        <v>31</v>
      </c>
      <c r="E132" s="7" t="s">
        <v>32</v>
      </c>
      <c r="F132" s="12" t="n">
        <f aca="false">IF(D132=E132,1,0)</f>
        <v>0</v>
      </c>
      <c r="G132" s="13" t="n">
        <v>-0.0203619909502262</v>
      </c>
      <c r="H132" s="14" t="n">
        <v>0.327998048790652</v>
      </c>
      <c r="I132" s="14" t="n">
        <v>0.311076895067078</v>
      </c>
      <c r="J132" s="14" t="n">
        <v>0.36092505614227</v>
      </c>
      <c r="K132" s="12" t="s">
        <v>65</v>
      </c>
      <c r="L132" s="15" t="n">
        <v>953</v>
      </c>
      <c r="M132" s="15" t="n">
        <v>4</v>
      </c>
    </row>
    <row r="133" customFormat="false" ht="15" hidden="false" customHeight="false" outlineLevel="0" collapsed="false">
      <c r="A133" s="12" t="s">
        <v>34</v>
      </c>
      <c r="B133" s="7" t="s">
        <v>35</v>
      </c>
      <c r="C133" s="12" t="s">
        <v>67</v>
      </c>
      <c r="D133" s="7" t="s">
        <v>31</v>
      </c>
      <c r="E133" s="7" t="s">
        <v>40</v>
      </c>
      <c r="F133" s="12" t="n">
        <f aca="false">IF(D133=E133,1,0)</f>
        <v>0</v>
      </c>
      <c r="G133" s="13" t="n">
        <v>-0.0039682539682539</v>
      </c>
      <c r="H133" s="14" t="n">
        <v>0.327799082695672</v>
      </c>
      <c r="I133" s="14" t="n">
        <v>0.317644946068498</v>
      </c>
      <c r="J133" s="14" t="n">
        <v>0.354555971235831</v>
      </c>
      <c r="K133" s="12" t="s">
        <v>65</v>
      </c>
      <c r="L133" s="15" t="n">
        <v>953</v>
      </c>
      <c r="M133" s="15" t="n">
        <v>4</v>
      </c>
    </row>
    <row r="134" customFormat="false" ht="15" hidden="false" customHeight="false" outlineLevel="0" collapsed="false">
      <c r="A134" s="12" t="s">
        <v>36</v>
      </c>
      <c r="B134" s="7" t="s">
        <v>37</v>
      </c>
      <c r="C134" s="12" t="s">
        <v>67</v>
      </c>
      <c r="D134" s="7" t="s">
        <v>31</v>
      </c>
      <c r="E134" s="7" t="s">
        <v>32</v>
      </c>
      <c r="F134" s="12" t="n">
        <f aca="false">IF(D134=E134,1,0)</f>
        <v>0</v>
      </c>
      <c r="G134" s="13" t="n">
        <v>-0.0133333333333333</v>
      </c>
      <c r="H134" s="14" t="n">
        <v>0.331706477760792</v>
      </c>
      <c r="I134" s="14" t="n">
        <v>0.326215377658579</v>
      </c>
      <c r="J134" s="14" t="n">
        <v>0.342078144580629</v>
      </c>
      <c r="K134" s="12" t="s">
        <v>65</v>
      </c>
      <c r="L134" s="15" t="n">
        <v>953</v>
      </c>
      <c r="M134" s="15" t="n">
        <v>4</v>
      </c>
    </row>
    <row r="135" customFormat="false" ht="15" hidden="false" customHeight="false" outlineLevel="0" collapsed="false">
      <c r="A135" s="12" t="s">
        <v>38</v>
      </c>
      <c r="B135" s="7" t="s">
        <v>39</v>
      </c>
      <c r="C135" s="12" t="s">
        <v>67</v>
      </c>
      <c r="D135" s="7" t="s">
        <v>31</v>
      </c>
      <c r="E135" s="7" t="s">
        <v>31</v>
      </c>
      <c r="F135" s="12" t="n">
        <f aca="false">IF(D135=E135,1,0)</f>
        <v>1</v>
      </c>
      <c r="G135" s="13" t="n">
        <v>0.0189504373177842</v>
      </c>
      <c r="H135" s="14" t="n">
        <v>0.327162515301975</v>
      </c>
      <c r="I135" s="14" t="n">
        <v>0.302721356459878</v>
      </c>
      <c r="J135" s="14" t="n">
        <v>0.370116128238147</v>
      </c>
      <c r="K135" s="12" t="s">
        <v>65</v>
      </c>
      <c r="L135" s="15" t="n">
        <v>953</v>
      </c>
      <c r="M135" s="15" t="n">
        <v>4</v>
      </c>
    </row>
    <row r="136" customFormat="false" ht="15" hidden="false" customHeight="false" outlineLevel="0" collapsed="false">
      <c r="A136" s="12" t="s">
        <v>41</v>
      </c>
      <c r="B136" s="7" t="s">
        <v>42</v>
      </c>
      <c r="C136" s="12" t="s">
        <v>67</v>
      </c>
      <c r="D136" s="7" t="s">
        <v>40</v>
      </c>
      <c r="E136" s="7" t="s">
        <v>40</v>
      </c>
      <c r="F136" s="12" t="n">
        <f aca="false">IF(D136=E136,1,0)</f>
        <v>1</v>
      </c>
      <c r="G136" s="13" t="n">
        <v>-0.0094339622641509</v>
      </c>
      <c r="H136" s="14" t="n">
        <v>0.313044050164111</v>
      </c>
      <c r="I136" s="14" t="n">
        <v>0.357081165263151</v>
      </c>
      <c r="J136" s="14" t="n">
        <v>0.329874784572738</v>
      </c>
      <c r="K136" s="12" t="s">
        <v>65</v>
      </c>
      <c r="L136" s="15" t="n">
        <v>953</v>
      </c>
      <c r="M136" s="15" t="n">
        <v>4</v>
      </c>
    </row>
    <row r="137" customFormat="false" ht="15" hidden="false" customHeight="false" outlineLevel="0" collapsed="false">
      <c r="A137" s="12" t="s">
        <v>43</v>
      </c>
      <c r="B137" s="7" t="s">
        <v>44</v>
      </c>
      <c r="C137" s="12" t="s">
        <v>67</v>
      </c>
      <c r="D137" s="7" t="s">
        <v>32</v>
      </c>
      <c r="E137" s="7" t="s">
        <v>32</v>
      </c>
      <c r="F137" s="12" t="n">
        <f aca="false">IF(D137=E137,1,0)</f>
        <v>1</v>
      </c>
      <c r="G137" s="13" t="n">
        <v>-0.0177890724269378</v>
      </c>
      <c r="H137" s="14" t="n">
        <v>0.353635547874803</v>
      </c>
      <c r="I137" s="14" t="n">
        <v>0.318031989372819</v>
      </c>
      <c r="J137" s="14" t="n">
        <v>0.328332462752378</v>
      </c>
      <c r="K137" s="12" t="s">
        <v>65</v>
      </c>
      <c r="L137" s="15" t="n">
        <v>953</v>
      </c>
      <c r="M137" s="15" t="n">
        <v>4</v>
      </c>
    </row>
    <row r="138" customFormat="false" ht="15" hidden="false" customHeight="false" outlineLevel="0" collapsed="false">
      <c r="A138" s="12" t="s">
        <v>28</v>
      </c>
      <c r="B138" s="7" t="s">
        <v>29</v>
      </c>
      <c r="C138" s="12" t="s">
        <v>68</v>
      </c>
      <c r="D138" s="7" t="s">
        <v>31</v>
      </c>
      <c r="E138" s="7" t="s">
        <v>32</v>
      </c>
      <c r="F138" s="12" t="n">
        <f aca="false">IF(D138=E138,1,0)</f>
        <v>0</v>
      </c>
      <c r="G138" s="13" t="n">
        <v>-0.0548245614035087</v>
      </c>
      <c r="H138" s="14" t="n">
        <v>0.313899116985661</v>
      </c>
      <c r="I138" s="14" t="n">
        <v>0.31760344148821</v>
      </c>
      <c r="J138" s="14" t="n">
        <v>0.368497441526129</v>
      </c>
      <c r="K138" s="12" t="s">
        <v>65</v>
      </c>
      <c r="L138" s="15" t="n">
        <v>953</v>
      </c>
      <c r="M138" s="15" t="n">
        <v>4</v>
      </c>
    </row>
    <row r="139" customFormat="false" ht="15" hidden="false" customHeight="false" outlineLevel="0" collapsed="false">
      <c r="A139" s="12" t="s">
        <v>34</v>
      </c>
      <c r="B139" s="7" t="s">
        <v>35</v>
      </c>
      <c r="C139" s="12" t="s">
        <v>68</v>
      </c>
      <c r="D139" s="7" t="s">
        <v>31</v>
      </c>
      <c r="E139" s="7" t="s">
        <v>32</v>
      </c>
      <c r="F139" s="12" t="n">
        <f aca="false">IF(D139=E139,1,0)</f>
        <v>0</v>
      </c>
      <c r="G139" s="13" t="n">
        <v>-0.0355029585798816</v>
      </c>
      <c r="H139" s="14" t="n">
        <v>0.322840042059218</v>
      </c>
      <c r="I139" s="14" t="n">
        <v>0.336071949526108</v>
      </c>
      <c r="J139" s="14" t="n">
        <v>0.341088008414674</v>
      </c>
      <c r="K139" s="12" t="s">
        <v>65</v>
      </c>
      <c r="L139" s="15" t="n">
        <v>953</v>
      </c>
      <c r="M139" s="15" t="n">
        <v>4</v>
      </c>
    </row>
    <row r="140" customFormat="false" ht="15" hidden="false" customHeight="false" outlineLevel="0" collapsed="false">
      <c r="A140" s="12" t="s">
        <v>36</v>
      </c>
      <c r="B140" s="7" t="s">
        <v>37</v>
      </c>
      <c r="C140" s="12" t="s">
        <v>68</v>
      </c>
      <c r="D140" s="7" t="s">
        <v>31</v>
      </c>
      <c r="E140" s="7" t="s">
        <v>32</v>
      </c>
      <c r="F140" s="12" t="n">
        <f aca="false">IF(D140=E140,1,0)</f>
        <v>0</v>
      </c>
      <c r="G140" s="13" t="n">
        <v>-0.0173160173160172</v>
      </c>
      <c r="H140" s="14" t="n">
        <v>0.320529035712918</v>
      </c>
      <c r="I140" s="14" t="n">
        <v>0.331671443530184</v>
      </c>
      <c r="J140" s="14" t="n">
        <v>0.347799520756898</v>
      </c>
      <c r="K140" s="12" t="s">
        <v>65</v>
      </c>
      <c r="L140" s="15" t="n">
        <v>953</v>
      </c>
      <c r="M140" s="15" t="n">
        <v>4</v>
      </c>
    </row>
    <row r="141" customFormat="false" ht="15" hidden="false" customHeight="false" outlineLevel="0" collapsed="false">
      <c r="A141" s="12" t="s">
        <v>38</v>
      </c>
      <c r="B141" s="7" t="s">
        <v>39</v>
      </c>
      <c r="C141" s="12" t="s">
        <v>68</v>
      </c>
      <c r="D141" s="7" t="s">
        <v>32</v>
      </c>
      <c r="E141" s="7" t="s">
        <v>40</v>
      </c>
      <c r="F141" s="12" t="n">
        <f aca="false">IF(D141=E141,1,0)</f>
        <v>0</v>
      </c>
      <c r="G141" s="13" t="n">
        <v>-0.0043859649122807</v>
      </c>
      <c r="H141" s="14" t="n">
        <v>0.355699318110417</v>
      </c>
      <c r="I141" s="14" t="n">
        <v>0.298523146026783</v>
      </c>
      <c r="J141" s="14" t="n">
        <v>0.3457775358628</v>
      </c>
      <c r="K141" s="12" t="s">
        <v>65</v>
      </c>
      <c r="L141" s="15" t="n">
        <v>953</v>
      </c>
      <c r="M141" s="15" t="n">
        <v>4</v>
      </c>
    </row>
    <row r="142" customFormat="false" ht="15" hidden="false" customHeight="false" outlineLevel="0" collapsed="false">
      <c r="A142" s="12" t="s">
        <v>41</v>
      </c>
      <c r="B142" s="7" t="s">
        <v>42</v>
      </c>
      <c r="C142" s="12" t="s">
        <v>68</v>
      </c>
      <c r="D142" s="7" t="s">
        <v>40</v>
      </c>
      <c r="E142" s="7" t="s">
        <v>40</v>
      </c>
      <c r="F142" s="12" t="n">
        <f aca="false">IF(D142=E142,1,0)</f>
        <v>1</v>
      </c>
      <c r="G142" s="13" t="n">
        <v>-0.009367681498829</v>
      </c>
      <c r="H142" s="14" t="n">
        <v>0.324423691751771</v>
      </c>
      <c r="I142" s="14" t="n">
        <v>0.354692796763111</v>
      </c>
      <c r="J142" s="14" t="n">
        <v>0.320883511485118</v>
      </c>
      <c r="K142" s="12" t="s">
        <v>65</v>
      </c>
      <c r="L142" s="15" t="n">
        <v>953</v>
      </c>
      <c r="M142" s="15" t="n">
        <v>4</v>
      </c>
    </row>
    <row r="143" customFormat="false" ht="15" hidden="false" customHeight="false" outlineLevel="0" collapsed="false">
      <c r="A143" s="12" t="s">
        <v>43</v>
      </c>
      <c r="B143" s="7" t="s">
        <v>44</v>
      </c>
      <c r="C143" s="12" t="s">
        <v>68</v>
      </c>
      <c r="D143" s="7" t="s">
        <v>40</v>
      </c>
      <c r="E143" s="7" t="s">
        <v>32</v>
      </c>
      <c r="F143" s="12" t="n">
        <f aca="false">IF(D143=E143,1,0)</f>
        <v>0</v>
      </c>
      <c r="G143" s="13" t="n">
        <v>-0.0291139240506328</v>
      </c>
      <c r="H143" s="14" t="n">
        <v>0.31511121288637</v>
      </c>
      <c r="I143" s="14" t="n">
        <v>0.348141344539611</v>
      </c>
      <c r="J143" s="14" t="n">
        <v>0.33674744257402</v>
      </c>
      <c r="K143" s="12" t="s">
        <v>65</v>
      </c>
      <c r="L143" s="15" t="n">
        <v>953</v>
      </c>
      <c r="M143" s="15" t="n">
        <v>4</v>
      </c>
    </row>
    <row r="144" customFormat="false" ht="15" hidden="false" customHeight="false" outlineLevel="0" collapsed="false">
      <c r="A144" s="12" t="s">
        <v>28</v>
      </c>
      <c r="B144" s="7" t="s">
        <v>29</v>
      </c>
      <c r="C144" s="12" t="s">
        <v>69</v>
      </c>
      <c r="D144" s="7" t="s">
        <v>31</v>
      </c>
      <c r="E144" s="7" t="s">
        <v>32</v>
      </c>
      <c r="F144" s="12" t="n">
        <f aca="false">IF(D144=E144,1,0)</f>
        <v>0</v>
      </c>
      <c r="G144" s="13" t="n">
        <v>-0.0568181818181817</v>
      </c>
      <c r="H144" s="14" t="n">
        <v>0.323192365880115</v>
      </c>
      <c r="I144" s="14" t="n">
        <v>0.316216329701431</v>
      </c>
      <c r="J144" s="14" t="n">
        <v>0.360591304418453</v>
      </c>
      <c r="K144" s="12" t="s">
        <v>65</v>
      </c>
      <c r="L144" s="15" t="n">
        <v>953</v>
      </c>
      <c r="M144" s="15" t="n">
        <v>4</v>
      </c>
    </row>
    <row r="145" customFormat="false" ht="15" hidden="false" customHeight="false" outlineLevel="0" collapsed="false">
      <c r="A145" s="12" t="s">
        <v>34</v>
      </c>
      <c r="B145" s="7" t="s">
        <v>35</v>
      </c>
      <c r="C145" s="12" t="s">
        <v>69</v>
      </c>
      <c r="D145" s="7" t="s">
        <v>31</v>
      </c>
      <c r="E145" s="7" t="s">
        <v>40</v>
      </c>
      <c r="F145" s="12" t="n">
        <f aca="false">IF(D145=E145,1,0)</f>
        <v>0</v>
      </c>
      <c r="G145" s="13" t="n">
        <v>-0.006</v>
      </c>
      <c r="H145" s="14" t="n">
        <v>0.325976823247021</v>
      </c>
      <c r="I145" s="14" t="n">
        <v>0.329621086103164</v>
      </c>
      <c r="J145" s="14" t="n">
        <v>0.344402090649815</v>
      </c>
      <c r="K145" s="12" t="s">
        <v>65</v>
      </c>
      <c r="L145" s="15" t="n">
        <v>953</v>
      </c>
      <c r="M145" s="15" t="n">
        <v>4</v>
      </c>
    </row>
    <row r="146" customFormat="false" ht="15" hidden="false" customHeight="false" outlineLevel="0" collapsed="false">
      <c r="A146" s="12" t="s">
        <v>36</v>
      </c>
      <c r="B146" s="7" t="s">
        <v>37</v>
      </c>
      <c r="C146" s="12" t="s">
        <v>69</v>
      </c>
      <c r="D146" s="7" t="s">
        <v>31</v>
      </c>
      <c r="E146" s="7" t="s">
        <v>40</v>
      </c>
      <c r="F146" s="12" t="n">
        <f aca="false">IF(D146=E146,1,0)</f>
        <v>0</v>
      </c>
      <c r="G146" s="13" t="n">
        <v>-0.0109170305676855</v>
      </c>
      <c r="H146" s="14" t="n">
        <v>0.334780449929423</v>
      </c>
      <c r="I146" s="14" t="n">
        <v>0.32471487382526</v>
      </c>
      <c r="J146" s="14" t="n">
        <v>0.340504676245317</v>
      </c>
      <c r="K146" s="12" t="s">
        <v>65</v>
      </c>
      <c r="L146" s="15" t="n">
        <v>953</v>
      </c>
      <c r="M146" s="15" t="n">
        <v>4</v>
      </c>
    </row>
    <row r="147" customFormat="false" ht="15" hidden="false" customHeight="false" outlineLevel="0" collapsed="false">
      <c r="A147" s="12" t="s">
        <v>38</v>
      </c>
      <c r="B147" s="7" t="s">
        <v>39</v>
      </c>
      <c r="C147" s="12" t="s">
        <v>69</v>
      </c>
      <c r="D147" s="7" t="s">
        <v>31</v>
      </c>
      <c r="E147" s="7" t="s">
        <v>32</v>
      </c>
      <c r="F147" s="12" t="n">
        <f aca="false">IF(D147=E147,1,0)</f>
        <v>0</v>
      </c>
      <c r="G147" s="13" t="n">
        <v>-0.101928374655647</v>
      </c>
      <c r="H147" s="14" t="n">
        <v>0.343105898752166</v>
      </c>
      <c r="I147" s="14" t="n">
        <v>0.29083238126111</v>
      </c>
      <c r="J147" s="14" t="n">
        <v>0.366061719986724</v>
      </c>
      <c r="K147" s="12" t="s">
        <v>65</v>
      </c>
      <c r="L147" s="15" t="n">
        <v>953</v>
      </c>
      <c r="M147" s="15" t="n">
        <v>4</v>
      </c>
    </row>
    <row r="148" customFormat="false" ht="15" hidden="false" customHeight="false" outlineLevel="0" collapsed="false">
      <c r="A148" s="12" t="s">
        <v>41</v>
      </c>
      <c r="B148" s="7" t="s">
        <v>42</v>
      </c>
      <c r="C148" s="12" t="s">
        <v>69</v>
      </c>
      <c r="D148" s="7" t="s">
        <v>40</v>
      </c>
      <c r="E148" s="7" t="s">
        <v>32</v>
      </c>
      <c r="F148" s="12" t="n">
        <f aca="false">IF(D148=E148,1,0)</f>
        <v>0</v>
      </c>
      <c r="G148" s="13" t="n">
        <v>-0.0520094562647753</v>
      </c>
      <c r="H148" s="14" t="n">
        <v>0.303823313841456</v>
      </c>
      <c r="I148" s="14" t="n">
        <v>0.375604456590001</v>
      </c>
      <c r="J148" s="14" t="n">
        <v>0.320572229568543</v>
      </c>
      <c r="K148" s="12" t="s">
        <v>65</v>
      </c>
      <c r="L148" s="15" t="n">
        <v>953</v>
      </c>
      <c r="M148" s="15" t="n">
        <v>4</v>
      </c>
    </row>
    <row r="149" customFormat="false" ht="15" hidden="false" customHeight="false" outlineLevel="0" collapsed="false">
      <c r="A149" s="12" t="s">
        <v>43</v>
      </c>
      <c r="B149" s="7" t="s">
        <v>44</v>
      </c>
      <c r="C149" s="12" t="s">
        <v>69</v>
      </c>
      <c r="D149" s="7" t="s">
        <v>40</v>
      </c>
      <c r="E149" s="7" t="s">
        <v>32</v>
      </c>
      <c r="F149" s="12" t="n">
        <f aca="false">IF(D149=E149,1,0)</f>
        <v>0</v>
      </c>
      <c r="G149" s="13" t="n">
        <v>-0.0262499999999998</v>
      </c>
      <c r="H149" s="14" t="n">
        <v>0.32410831522173</v>
      </c>
      <c r="I149" s="14" t="n">
        <v>0.341102261719678</v>
      </c>
      <c r="J149" s="14" t="n">
        <v>0.334789423058593</v>
      </c>
      <c r="K149" s="12" t="s">
        <v>65</v>
      </c>
      <c r="L149" s="15" t="n">
        <v>953</v>
      </c>
      <c r="M149" s="15" t="n">
        <v>4</v>
      </c>
    </row>
    <row r="150" customFormat="false" ht="15" hidden="false" customHeight="false" outlineLevel="0" collapsed="false">
      <c r="A150" s="12" t="s">
        <v>28</v>
      </c>
      <c r="B150" s="7" t="s">
        <v>29</v>
      </c>
      <c r="C150" s="12" t="s">
        <v>70</v>
      </c>
      <c r="D150" s="7" t="s">
        <v>31</v>
      </c>
      <c r="E150" s="7" t="s">
        <v>32</v>
      </c>
      <c r="F150" s="12" t="n">
        <f aca="false">IF(D150=E150,1,0)</f>
        <v>0</v>
      </c>
      <c r="G150" s="13" t="n">
        <v>-0.10022271714922</v>
      </c>
      <c r="H150" s="14" t="n">
        <v>0.344918391733582</v>
      </c>
      <c r="I150" s="14" t="n">
        <v>0.305209921227582</v>
      </c>
      <c r="J150" s="14" t="n">
        <v>0.349871687038836</v>
      </c>
      <c r="K150" s="12" t="s">
        <v>65</v>
      </c>
      <c r="L150" s="15" t="n">
        <v>953</v>
      </c>
      <c r="M150" s="15" t="n">
        <v>4</v>
      </c>
    </row>
    <row r="151" customFormat="false" ht="15" hidden="false" customHeight="false" outlineLevel="0" collapsed="false">
      <c r="A151" s="12" t="s">
        <v>34</v>
      </c>
      <c r="B151" s="7" t="s">
        <v>35</v>
      </c>
      <c r="C151" s="12" t="s">
        <v>70</v>
      </c>
      <c r="D151" s="7" t="s">
        <v>40</v>
      </c>
      <c r="E151" s="7" t="s">
        <v>32</v>
      </c>
      <c r="F151" s="12" t="n">
        <f aca="false">IF(D151=E151,1,0)</f>
        <v>0</v>
      </c>
      <c r="G151" s="13" t="n">
        <v>-0.0138888888888888</v>
      </c>
      <c r="H151" s="14" t="n">
        <v>0.321358381658522</v>
      </c>
      <c r="I151" s="14" t="n">
        <v>0.340541427500816</v>
      </c>
      <c r="J151" s="14" t="n">
        <v>0.338100190840662</v>
      </c>
      <c r="K151" s="12" t="s">
        <v>65</v>
      </c>
      <c r="L151" s="15" t="n">
        <v>953</v>
      </c>
      <c r="M151" s="15" t="n">
        <v>4</v>
      </c>
    </row>
    <row r="152" customFormat="false" ht="15" hidden="false" customHeight="false" outlineLevel="0" collapsed="false">
      <c r="A152" s="12" t="s">
        <v>36</v>
      </c>
      <c r="B152" s="7" t="s">
        <v>37</v>
      </c>
      <c r="C152" s="12" t="s">
        <v>70</v>
      </c>
      <c r="D152" s="7" t="s">
        <v>32</v>
      </c>
      <c r="E152" s="7" t="s">
        <v>40</v>
      </c>
      <c r="F152" s="12" t="n">
        <f aca="false">IF(D152=E152,1,0)</f>
        <v>0</v>
      </c>
      <c r="G152" s="13" t="n">
        <v>0.0022371364653244</v>
      </c>
      <c r="H152" s="14" t="n">
        <v>0.34508080923642</v>
      </c>
      <c r="I152" s="14" t="n">
        <v>0.323143585568021</v>
      </c>
      <c r="J152" s="14" t="n">
        <v>0.33177560519556</v>
      </c>
      <c r="K152" s="12" t="s">
        <v>65</v>
      </c>
      <c r="L152" s="15" t="n">
        <v>953</v>
      </c>
      <c r="M152" s="15" t="n">
        <v>4</v>
      </c>
    </row>
    <row r="153" customFormat="false" ht="15" hidden="false" customHeight="false" outlineLevel="0" collapsed="false">
      <c r="A153" s="12" t="s">
        <v>38</v>
      </c>
      <c r="B153" s="7" t="s">
        <v>39</v>
      </c>
      <c r="C153" s="12" t="s">
        <v>70</v>
      </c>
      <c r="D153" s="7" t="s">
        <v>31</v>
      </c>
      <c r="E153" s="7" t="s">
        <v>32</v>
      </c>
      <c r="F153" s="12" t="n">
        <f aca="false">IF(D153=E153,1,0)</f>
        <v>0</v>
      </c>
      <c r="G153" s="13" t="n">
        <v>-0.123711340206186</v>
      </c>
      <c r="H153" s="14" t="n">
        <v>0.34128013225373</v>
      </c>
      <c r="I153" s="14" t="n">
        <v>0.298337448666309</v>
      </c>
      <c r="J153" s="14" t="n">
        <v>0.360382419079962</v>
      </c>
      <c r="K153" s="12" t="s">
        <v>65</v>
      </c>
      <c r="L153" s="15" t="n">
        <v>953</v>
      </c>
      <c r="M153" s="15" t="n">
        <v>4</v>
      </c>
    </row>
    <row r="154" customFormat="false" ht="15" hidden="false" customHeight="false" outlineLevel="0" collapsed="false">
      <c r="A154" s="12" t="s">
        <v>41</v>
      </c>
      <c r="B154" s="7" t="s">
        <v>42</v>
      </c>
      <c r="C154" s="12" t="s">
        <v>70</v>
      </c>
      <c r="D154" s="7" t="s">
        <v>31</v>
      </c>
      <c r="E154" s="7" t="s">
        <v>32</v>
      </c>
      <c r="F154" s="12" t="n">
        <f aca="false">IF(D154=E154,1,0)</f>
        <v>0</v>
      </c>
      <c r="G154" s="13" t="n">
        <v>-0.0771028037383178</v>
      </c>
      <c r="H154" s="14" t="n">
        <v>0.312158531416734</v>
      </c>
      <c r="I154" s="14" t="n">
        <v>0.316558720326152</v>
      </c>
      <c r="J154" s="14" t="n">
        <v>0.371282748257115</v>
      </c>
      <c r="K154" s="12" t="s">
        <v>65</v>
      </c>
      <c r="L154" s="15" t="n">
        <v>953</v>
      </c>
      <c r="M154" s="15" t="n">
        <v>4</v>
      </c>
    </row>
    <row r="155" customFormat="false" ht="15" hidden="false" customHeight="false" outlineLevel="0" collapsed="false">
      <c r="A155" s="12" t="s">
        <v>43</v>
      </c>
      <c r="B155" s="7" t="s">
        <v>44</v>
      </c>
      <c r="C155" s="12" t="s">
        <v>70</v>
      </c>
      <c r="D155" s="7" t="s">
        <v>40</v>
      </c>
      <c r="E155" s="7" t="s">
        <v>32</v>
      </c>
      <c r="F155" s="12" t="n">
        <f aca="false">IF(D155=E155,1,0)</f>
        <v>0</v>
      </c>
      <c r="G155" s="13" t="n">
        <v>-0.0204081632653062</v>
      </c>
      <c r="H155" s="14" t="n">
        <v>0.328354631579166</v>
      </c>
      <c r="I155" s="14" t="n">
        <v>0.355122931979208</v>
      </c>
      <c r="J155" s="14" t="n">
        <v>0.316522436441625</v>
      </c>
      <c r="K155" s="12" t="s">
        <v>65</v>
      </c>
      <c r="L155" s="15" t="n">
        <v>953</v>
      </c>
      <c r="M155" s="15" t="n">
        <v>4</v>
      </c>
    </row>
    <row r="156" customFormat="false" ht="15" hidden="false" customHeight="false" outlineLevel="0" collapsed="false">
      <c r="A156" s="12" t="s">
        <v>28</v>
      </c>
      <c r="B156" s="7" t="s">
        <v>29</v>
      </c>
      <c r="C156" s="12" t="s">
        <v>71</v>
      </c>
      <c r="D156" s="7" t="s">
        <v>32</v>
      </c>
      <c r="E156" s="7" t="s">
        <v>32</v>
      </c>
      <c r="F156" s="12" t="n">
        <f aca="false">IF(D156=E156,1,0)</f>
        <v>1</v>
      </c>
      <c r="G156" s="13" t="n">
        <v>-0.12756264236902</v>
      </c>
      <c r="H156" s="14" t="n">
        <v>0.346899526436113</v>
      </c>
      <c r="I156" s="14" t="n">
        <v>0.3091854163946</v>
      </c>
      <c r="J156" s="14" t="n">
        <v>0.343915057169287</v>
      </c>
      <c r="K156" s="12" t="s">
        <v>65</v>
      </c>
      <c r="L156" s="15" t="n">
        <v>953</v>
      </c>
      <c r="M156" s="15" t="n">
        <v>4</v>
      </c>
    </row>
    <row r="157" customFormat="false" ht="15" hidden="false" customHeight="false" outlineLevel="0" collapsed="false">
      <c r="A157" s="12" t="s">
        <v>34</v>
      </c>
      <c r="B157" s="7" t="s">
        <v>35</v>
      </c>
      <c r="C157" s="12" t="s">
        <v>71</v>
      </c>
      <c r="D157" s="7" t="s">
        <v>31</v>
      </c>
      <c r="E157" s="7" t="s">
        <v>32</v>
      </c>
      <c r="F157" s="12" t="n">
        <f aca="false">IF(D157=E157,1,0)</f>
        <v>0</v>
      </c>
      <c r="G157" s="13" t="n">
        <v>-0.02</v>
      </c>
      <c r="H157" s="14" t="n">
        <v>0.338922126543362</v>
      </c>
      <c r="I157" s="14" t="n">
        <v>0.312962010972961</v>
      </c>
      <c r="J157" s="14" t="n">
        <v>0.348115862483677</v>
      </c>
      <c r="K157" s="12" t="s">
        <v>65</v>
      </c>
      <c r="L157" s="15" t="n">
        <v>953</v>
      </c>
      <c r="M157" s="15" t="n">
        <v>4</v>
      </c>
    </row>
    <row r="158" customFormat="false" ht="15" hidden="false" customHeight="false" outlineLevel="0" collapsed="false">
      <c r="A158" s="12" t="s">
        <v>36</v>
      </c>
      <c r="B158" s="7" t="s">
        <v>37</v>
      </c>
      <c r="C158" s="12" t="s">
        <v>71</v>
      </c>
      <c r="D158" s="7" t="s">
        <v>32</v>
      </c>
      <c r="E158" s="7" t="s">
        <v>32</v>
      </c>
      <c r="F158" s="12" t="n">
        <f aca="false">IF(D158=E158,1,0)</f>
        <v>1</v>
      </c>
      <c r="G158" s="13" t="n">
        <v>-0.0221729490022173</v>
      </c>
      <c r="H158" s="14" t="n">
        <v>0.364156617181755</v>
      </c>
      <c r="I158" s="14" t="n">
        <v>0.313511639196788</v>
      </c>
      <c r="J158" s="14" t="n">
        <v>0.322331743621456</v>
      </c>
      <c r="K158" s="12" t="s">
        <v>65</v>
      </c>
      <c r="L158" s="15" t="n">
        <v>953</v>
      </c>
      <c r="M158" s="15" t="n">
        <v>4</v>
      </c>
    </row>
    <row r="159" customFormat="false" ht="15" hidden="false" customHeight="false" outlineLevel="0" collapsed="false">
      <c r="A159" s="12" t="s">
        <v>38</v>
      </c>
      <c r="B159" s="7" t="s">
        <v>39</v>
      </c>
      <c r="C159" s="12" t="s">
        <v>71</v>
      </c>
      <c r="D159" s="7" t="s">
        <v>31</v>
      </c>
      <c r="E159" s="7" t="s">
        <v>32</v>
      </c>
      <c r="F159" s="12" t="n">
        <f aca="false">IF(D159=E159,1,0)</f>
        <v>0</v>
      </c>
      <c r="G159" s="13" t="n">
        <v>-0.147297297297297</v>
      </c>
      <c r="H159" s="14" t="n">
        <v>0.339976992241564</v>
      </c>
      <c r="I159" s="14" t="n">
        <v>0.304847767234709</v>
      </c>
      <c r="J159" s="14" t="n">
        <v>0.355175240523727</v>
      </c>
      <c r="K159" s="12" t="s">
        <v>65</v>
      </c>
      <c r="L159" s="15" t="n">
        <v>953</v>
      </c>
      <c r="M159" s="15" t="n">
        <v>4</v>
      </c>
    </row>
    <row r="160" customFormat="false" ht="15" hidden="false" customHeight="false" outlineLevel="0" collapsed="false">
      <c r="A160" s="12" t="s">
        <v>41</v>
      </c>
      <c r="B160" s="7" t="s">
        <v>42</v>
      </c>
      <c r="C160" s="12" t="s">
        <v>71</v>
      </c>
      <c r="D160" s="7" t="s">
        <v>31</v>
      </c>
      <c r="E160" s="7" t="s">
        <v>32</v>
      </c>
      <c r="F160" s="12" t="n">
        <f aca="false">IF(D160=E160,1,0)</f>
        <v>0</v>
      </c>
      <c r="G160" s="13" t="n">
        <v>-0.0794392523364485</v>
      </c>
      <c r="H160" s="14" t="n">
        <v>0.330754310370797</v>
      </c>
      <c r="I160" s="14" t="n">
        <v>0.3255377824294</v>
      </c>
      <c r="J160" s="14" t="n">
        <v>0.343707907199803</v>
      </c>
      <c r="K160" s="12" t="s">
        <v>65</v>
      </c>
      <c r="L160" s="15" t="n">
        <v>953</v>
      </c>
      <c r="M160" s="15" t="n">
        <v>4</v>
      </c>
    </row>
    <row r="161" customFormat="false" ht="15" hidden="false" customHeight="false" outlineLevel="0" collapsed="false">
      <c r="A161" s="12" t="s">
        <v>43</v>
      </c>
      <c r="B161" s="7" t="s">
        <v>44</v>
      </c>
      <c r="C161" s="12" t="s">
        <v>71</v>
      </c>
      <c r="D161" s="7" t="s">
        <v>32</v>
      </c>
      <c r="E161" s="7" t="s">
        <v>31</v>
      </c>
      <c r="F161" s="12" t="n">
        <f aca="false">IF(D161=E161,1,0)</f>
        <v>0</v>
      </c>
      <c r="G161" s="13" t="n">
        <v>0.0183246073298428</v>
      </c>
      <c r="H161" s="14" t="n">
        <v>0.353155613252277</v>
      </c>
      <c r="I161" s="14" t="n">
        <v>0.314448411743754</v>
      </c>
      <c r="J161" s="14" t="n">
        <v>0.332395975003969</v>
      </c>
      <c r="K161" s="12" t="s">
        <v>65</v>
      </c>
      <c r="L161" s="15" t="n">
        <v>953</v>
      </c>
      <c r="M161" s="15" t="n">
        <v>4</v>
      </c>
    </row>
    <row r="162" customFormat="false" ht="15" hidden="false" customHeight="false" outlineLevel="0" collapsed="false">
      <c r="A162" s="12" t="s">
        <v>28</v>
      </c>
      <c r="B162" s="7" t="s">
        <v>29</v>
      </c>
      <c r="C162" s="12" t="s">
        <v>72</v>
      </c>
      <c r="D162" s="7" t="s">
        <v>31</v>
      </c>
      <c r="E162" s="7" t="s">
        <v>32</v>
      </c>
      <c r="F162" s="12" t="n">
        <f aca="false">IF(D162=E162,1,0)</f>
        <v>0</v>
      </c>
      <c r="G162" s="13" t="n">
        <v>-0.115473441108545</v>
      </c>
      <c r="H162" s="14" t="n">
        <v>0.331781437344423</v>
      </c>
      <c r="I162" s="14" t="n">
        <v>0.314686081455149</v>
      </c>
      <c r="J162" s="14" t="n">
        <v>0.353532481200429</v>
      </c>
      <c r="K162" s="12" t="s">
        <v>65</v>
      </c>
      <c r="L162" s="15" t="n">
        <v>953</v>
      </c>
      <c r="M162" s="15" t="n">
        <v>4</v>
      </c>
    </row>
    <row r="163" customFormat="false" ht="15" hidden="false" customHeight="false" outlineLevel="0" collapsed="false">
      <c r="A163" s="12" t="s">
        <v>34</v>
      </c>
      <c r="B163" s="7" t="s">
        <v>35</v>
      </c>
      <c r="C163" s="12" t="s">
        <v>72</v>
      </c>
      <c r="D163" s="7" t="s">
        <v>31</v>
      </c>
      <c r="E163" s="7" t="s">
        <v>32</v>
      </c>
      <c r="F163" s="12" t="n">
        <f aca="false">IF(D163=E163,1,0)</f>
        <v>0</v>
      </c>
      <c r="G163" s="13" t="n">
        <v>-0.043824701195219</v>
      </c>
      <c r="H163" s="14" t="n">
        <v>0.341149358760531</v>
      </c>
      <c r="I163" s="14" t="n">
        <v>0.311907613145449</v>
      </c>
      <c r="J163" s="14" t="n">
        <v>0.34694302809402</v>
      </c>
      <c r="K163" s="12" t="s">
        <v>65</v>
      </c>
      <c r="L163" s="15" t="n">
        <v>953</v>
      </c>
      <c r="M163" s="15" t="n">
        <v>4</v>
      </c>
    </row>
    <row r="164" customFormat="false" ht="15" hidden="false" customHeight="false" outlineLevel="0" collapsed="false">
      <c r="A164" s="12" t="s">
        <v>36</v>
      </c>
      <c r="B164" s="7" t="s">
        <v>37</v>
      </c>
      <c r="C164" s="12" t="s">
        <v>72</v>
      </c>
      <c r="D164" s="7" t="s">
        <v>32</v>
      </c>
      <c r="E164" s="7" t="s">
        <v>32</v>
      </c>
      <c r="F164" s="12" t="n">
        <f aca="false">IF(D164=E164,1,0)</f>
        <v>1</v>
      </c>
      <c r="G164" s="13" t="n">
        <v>-0.0157657657657657</v>
      </c>
      <c r="H164" s="14" t="n">
        <v>0.376168978967478</v>
      </c>
      <c r="I164" s="14" t="n">
        <v>0.308128513415616</v>
      </c>
      <c r="J164" s="14" t="n">
        <v>0.315702507616907</v>
      </c>
      <c r="K164" s="12" t="s">
        <v>65</v>
      </c>
      <c r="L164" s="15" t="n">
        <v>953</v>
      </c>
      <c r="M164" s="15" t="n">
        <v>4</v>
      </c>
    </row>
    <row r="165" customFormat="false" ht="15" hidden="false" customHeight="false" outlineLevel="0" collapsed="false">
      <c r="A165" s="12" t="s">
        <v>38</v>
      </c>
      <c r="B165" s="7" t="s">
        <v>39</v>
      </c>
      <c r="C165" s="12" t="s">
        <v>72</v>
      </c>
      <c r="D165" s="7" t="s">
        <v>31</v>
      </c>
      <c r="E165" s="7" t="s">
        <v>32</v>
      </c>
      <c r="F165" s="12" t="n">
        <f aca="false">IF(D165=E165,1,0)</f>
        <v>0</v>
      </c>
      <c r="G165" s="13" t="n">
        <v>-0.0758226037195994</v>
      </c>
      <c r="H165" s="14" t="n">
        <v>0.337878684833599</v>
      </c>
      <c r="I165" s="14" t="n">
        <v>0.309138184271632</v>
      </c>
      <c r="J165" s="14" t="n">
        <v>0.352983130894769</v>
      </c>
      <c r="K165" s="12" t="s">
        <v>65</v>
      </c>
      <c r="L165" s="15" t="n">
        <v>953</v>
      </c>
      <c r="M165" s="15" t="n">
        <v>4</v>
      </c>
    </row>
    <row r="166" customFormat="false" ht="15" hidden="false" customHeight="false" outlineLevel="0" collapsed="false">
      <c r="A166" s="12" t="s">
        <v>41</v>
      </c>
      <c r="B166" s="7" t="s">
        <v>42</v>
      </c>
      <c r="C166" s="12" t="s">
        <v>72</v>
      </c>
      <c r="D166" s="7" t="s">
        <v>40</v>
      </c>
      <c r="E166" s="7" t="s">
        <v>40</v>
      </c>
      <c r="F166" s="12" t="n">
        <f aca="false">IF(D166=E166,1,0)</f>
        <v>1</v>
      </c>
      <c r="G166" s="13" t="n">
        <v>0.0119047619047618</v>
      </c>
      <c r="H166" s="14" t="n">
        <v>0.314696913795301</v>
      </c>
      <c r="I166" s="14" t="n">
        <v>0.364666214601238</v>
      </c>
      <c r="J166" s="14" t="n">
        <v>0.320636871603461</v>
      </c>
      <c r="K166" s="12" t="s">
        <v>65</v>
      </c>
      <c r="L166" s="15" t="n">
        <v>953</v>
      </c>
      <c r="M166" s="15" t="n">
        <v>4</v>
      </c>
    </row>
    <row r="167" customFormat="false" ht="15" hidden="false" customHeight="false" outlineLevel="0" collapsed="false">
      <c r="A167" s="12" t="s">
        <v>43</v>
      </c>
      <c r="B167" s="7" t="s">
        <v>44</v>
      </c>
      <c r="C167" s="12" t="s">
        <v>72</v>
      </c>
      <c r="D167" s="7" t="s">
        <v>32</v>
      </c>
      <c r="E167" s="7" t="s">
        <v>40</v>
      </c>
      <c r="F167" s="12" t="n">
        <f aca="false">IF(D167=E167,1,0)</f>
        <v>0</v>
      </c>
      <c r="G167" s="13" t="n">
        <v>0.0077619663648125</v>
      </c>
      <c r="H167" s="14" t="n">
        <v>0.356385561471625</v>
      </c>
      <c r="I167" s="14" t="n">
        <v>0.316143132689991</v>
      </c>
      <c r="J167" s="14" t="n">
        <v>0.327471305838384</v>
      </c>
      <c r="K167" s="12" t="s">
        <v>65</v>
      </c>
      <c r="L167" s="15" t="n">
        <v>953</v>
      </c>
      <c r="M167" s="15" t="n">
        <v>4</v>
      </c>
    </row>
    <row r="168" customFormat="false" ht="15" hidden="false" customHeight="false" outlineLevel="0" collapsed="false">
      <c r="A168" s="12" t="s">
        <v>28</v>
      </c>
      <c r="B168" s="7" t="s">
        <v>29</v>
      </c>
      <c r="C168" s="12" t="s">
        <v>73</v>
      </c>
      <c r="D168" s="7" t="s">
        <v>31</v>
      </c>
      <c r="E168" s="7" t="s">
        <v>32</v>
      </c>
      <c r="F168" s="12" t="n">
        <f aca="false">IF(D168=E168,1,0)</f>
        <v>0</v>
      </c>
      <c r="G168" s="13" t="n">
        <v>-0.0580046403712296</v>
      </c>
      <c r="H168" s="14" t="n">
        <v>0.336514874710756</v>
      </c>
      <c r="I168" s="14" t="n">
        <v>0.312456950239899</v>
      </c>
      <c r="J168" s="14" t="n">
        <v>0.351028175049345</v>
      </c>
      <c r="K168" s="12" t="s">
        <v>65</v>
      </c>
      <c r="L168" s="15" t="n">
        <v>953</v>
      </c>
      <c r="M168" s="15" t="n">
        <v>4</v>
      </c>
    </row>
    <row r="169" customFormat="false" ht="15" hidden="false" customHeight="false" outlineLevel="0" collapsed="false">
      <c r="A169" s="12" t="s">
        <v>34</v>
      </c>
      <c r="B169" s="7" t="s">
        <v>35</v>
      </c>
      <c r="C169" s="12" t="s">
        <v>73</v>
      </c>
      <c r="D169" s="7" t="s">
        <v>31</v>
      </c>
      <c r="E169" s="7" t="s">
        <v>31</v>
      </c>
      <c r="F169" s="12" t="n">
        <f aca="false">IF(D169=E169,1,0)</f>
        <v>1</v>
      </c>
      <c r="G169" s="13" t="n">
        <v>0.0122699386503066</v>
      </c>
      <c r="H169" s="14" t="n">
        <v>0.33268918540301</v>
      </c>
      <c r="I169" s="14" t="n">
        <v>0.320273324170898</v>
      </c>
      <c r="J169" s="14" t="n">
        <v>0.347037490426093</v>
      </c>
      <c r="K169" s="12" t="s">
        <v>65</v>
      </c>
      <c r="L169" s="15" t="n">
        <v>953</v>
      </c>
      <c r="M169" s="15" t="n">
        <v>4</v>
      </c>
    </row>
    <row r="170" customFormat="false" ht="15" hidden="false" customHeight="false" outlineLevel="0" collapsed="false">
      <c r="A170" s="12" t="s">
        <v>36</v>
      </c>
      <c r="B170" s="7" t="s">
        <v>37</v>
      </c>
      <c r="C170" s="12" t="s">
        <v>73</v>
      </c>
      <c r="D170" s="7" t="s">
        <v>32</v>
      </c>
      <c r="E170" s="7" t="s">
        <v>32</v>
      </c>
      <c r="F170" s="12" t="n">
        <f aca="false">IF(D170=E170,1,0)</f>
        <v>1</v>
      </c>
      <c r="G170" s="13" t="n">
        <v>-0.0176211453744493</v>
      </c>
      <c r="H170" s="14" t="n">
        <v>0.367877221170795</v>
      </c>
      <c r="I170" s="14" t="n">
        <v>0.307761313302318</v>
      </c>
      <c r="J170" s="14" t="n">
        <v>0.324361465526887</v>
      </c>
      <c r="K170" s="12" t="s">
        <v>65</v>
      </c>
      <c r="L170" s="15" t="n">
        <v>953</v>
      </c>
      <c r="M170" s="15" t="n">
        <v>4</v>
      </c>
    </row>
    <row r="171" customFormat="false" ht="15" hidden="false" customHeight="false" outlineLevel="0" collapsed="false">
      <c r="A171" s="12" t="s">
        <v>38</v>
      </c>
      <c r="B171" s="7" t="s">
        <v>39</v>
      </c>
      <c r="C171" s="12" t="s">
        <v>73</v>
      </c>
      <c r="D171" s="7" t="s">
        <v>31</v>
      </c>
      <c r="E171" s="7" t="s">
        <v>31</v>
      </c>
      <c r="F171" s="12" t="n">
        <f aca="false">IF(D171=E171,1,0)</f>
        <v>1</v>
      </c>
      <c r="G171" s="13" t="n">
        <v>0.0425844346549193</v>
      </c>
      <c r="H171" s="14" t="n">
        <v>0.327614325844685</v>
      </c>
      <c r="I171" s="14" t="n">
        <v>0.31226648207804</v>
      </c>
      <c r="J171" s="14" t="n">
        <v>0.360119192077275</v>
      </c>
      <c r="K171" s="12" t="s">
        <v>65</v>
      </c>
      <c r="L171" s="15" t="n">
        <v>953</v>
      </c>
      <c r="M171" s="15" t="n">
        <v>4</v>
      </c>
    </row>
    <row r="172" customFormat="false" ht="15" hidden="false" customHeight="false" outlineLevel="0" collapsed="false">
      <c r="A172" s="12" t="s">
        <v>41</v>
      </c>
      <c r="B172" s="7" t="s">
        <v>42</v>
      </c>
      <c r="C172" s="12" t="s">
        <v>73</v>
      </c>
      <c r="D172" s="7" t="s">
        <v>40</v>
      </c>
      <c r="E172" s="7" t="s">
        <v>40</v>
      </c>
      <c r="F172" s="12" t="n">
        <f aca="false">IF(D172=E172,1,0)</f>
        <v>1</v>
      </c>
      <c r="G172" s="13" t="n">
        <v>0.0023640661938533</v>
      </c>
      <c r="H172" s="14" t="n">
        <v>0.326120702447155</v>
      </c>
      <c r="I172" s="14" t="n">
        <v>0.362729075604083</v>
      </c>
      <c r="J172" s="14" t="n">
        <v>0.311150221948762</v>
      </c>
      <c r="K172" s="12" t="s">
        <v>65</v>
      </c>
      <c r="L172" s="15" t="n">
        <v>953</v>
      </c>
      <c r="M172" s="15" t="n">
        <v>4</v>
      </c>
    </row>
    <row r="173" customFormat="false" ht="15" hidden="false" customHeight="false" outlineLevel="0" collapsed="false">
      <c r="A173" s="12" t="s">
        <v>43</v>
      </c>
      <c r="B173" s="7" t="s">
        <v>44</v>
      </c>
      <c r="C173" s="12" t="s">
        <v>73</v>
      </c>
      <c r="D173" s="7" t="s">
        <v>32</v>
      </c>
      <c r="E173" s="7" t="s">
        <v>31</v>
      </c>
      <c r="F173" s="12" t="n">
        <f aca="false">IF(D173=E173,1,0)</f>
        <v>0</v>
      </c>
      <c r="G173" s="13" t="n">
        <v>0.0260756192959583</v>
      </c>
      <c r="H173" s="14" t="n">
        <v>0.354293033118012</v>
      </c>
      <c r="I173" s="14" t="n">
        <v>0.320020620846883</v>
      </c>
      <c r="J173" s="14" t="n">
        <v>0.325686346035105</v>
      </c>
      <c r="K173" s="12" t="s">
        <v>65</v>
      </c>
      <c r="L173" s="15" t="n">
        <v>953</v>
      </c>
      <c r="M173" s="15" t="n">
        <v>4</v>
      </c>
    </row>
    <row r="174" customFormat="false" ht="15" hidden="false" customHeight="false" outlineLevel="0" collapsed="false">
      <c r="A174" s="12" t="s">
        <v>28</v>
      </c>
      <c r="B174" s="7" t="s">
        <v>29</v>
      </c>
      <c r="C174" s="12" t="s">
        <v>74</v>
      </c>
      <c r="D174" s="7" t="s">
        <v>31</v>
      </c>
      <c r="E174" s="7" t="s">
        <v>40</v>
      </c>
      <c r="F174" s="12" t="n">
        <f aca="false">IF(D174=E174,1,0)</f>
        <v>0</v>
      </c>
      <c r="G174" s="13" t="n">
        <v>0.0096385542168675</v>
      </c>
      <c r="H174" s="14" t="n">
        <v>0.336359817808917</v>
      </c>
      <c r="I174" s="14" t="n">
        <v>0.32156409504632</v>
      </c>
      <c r="J174" s="14" t="n">
        <v>0.342076087144763</v>
      </c>
      <c r="K174" s="12" t="s">
        <v>65</v>
      </c>
      <c r="L174" s="15" t="n">
        <v>953</v>
      </c>
      <c r="M174" s="15" t="n">
        <v>4</v>
      </c>
    </row>
    <row r="175" customFormat="false" ht="15" hidden="false" customHeight="false" outlineLevel="0" collapsed="false">
      <c r="A175" s="12" t="s">
        <v>34</v>
      </c>
      <c r="B175" s="7" t="s">
        <v>35</v>
      </c>
      <c r="C175" s="12" t="s">
        <v>74</v>
      </c>
      <c r="D175" s="7" t="s">
        <v>31</v>
      </c>
      <c r="E175" s="7" t="s">
        <v>40</v>
      </c>
      <c r="F175" s="12" t="n">
        <f aca="false">IF(D175=E175,1,0)</f>
        <v>0</v>
      </c>
      <c r="G175" s="13" t="n">
        <v>0.0060362173038228</v>
      </c>
      <c r="H175" s="14" t="n">
        <v>0.328431577110604</v>
      </c>
      <c r="I175" s="14" t="n">
        <v>0.317928359989485</v>
      </c>
      <c r="J175" s="14" t="n">
        <v>0.353640062899911</v>
      </c>
      <c r="K175" s="12" t="s">
        <v>65</v>
      </c>
      <c r="L175" s="15" t="n">
        <v>953</v>
      </c>
      <c r="M175" s="15" t="n">
        <v>4</v>
      </c>
    </row>
    <row r="176" customFormat="false" ht="15" hidden="false" customHeight="false" outlineLevel="0" collapsed="false">
      <c r="A176" s="12" t="s">
        <v>36</v>
      </c>
      <c r="B176" s="7" t="s">
        <v>37</v>
      </c>
      <c r="C176" s="12" t="s">
        <v>74</v>
      </c>
      <c r="D176" s="7" t="s">
        <v>32</v>
      </c>
      <c r="E176" s="7" t="s">
        <v>40</v>
      </c>
      <c r="F176" s="12" t="n">
        <f aca="false">IF(D176=E176,1,0)</f>
        <v>0</v>
      </c>
      <c r="G176" s="13" t="n">
        <v>-0.0044150110375276</v>
      </c>
      <c r="H176" s="14" t="n">
        <v>0.367324026470882</v>
      </c>
      <c r="I176" s="14" t="n">
        <v>0.308761295324809</v>
      </c>
      <c r="J176" s="14" t="n">
        <v>0.32391467820431</v>
      </c>
      <c r="K176" s="12" t="s">
        <v>65</v>
      </c>
      <c r="L176" s="15" t="n">
        <v>953</v>
      </c>
      <c r="M176" s="15" t="n">
        <v>4</v>
      </c>
    </row>
    <row r="177" customFormat="false" ht="15" hidden="false" customHeight="false" outlineLevel="0" collapsed="false">
      <c r="A177" s="12" t="s">
        <v>38</v>
      </c>
      <c r="B177" s="7" t="s">
        <v>39</v>
      </c>
      <c r="C177" s="12" t="s">
        <v>74</v>
      </c>
      <c r="D177" s="7" t="s">
        <v>31</v>
      </c>
      <c r="E177" s="7" t="s">
        <v>31</v>
      </c>
      <c r="F177" s="12" t="n">
        <f aca="false">IF(D177=E177,1,0)</f>
        <v>1</v>
      </c>
      <c r="G177" s="13" t="n">
        <v>0.184049079754601</v>
      </c>
      <c r="H177" s="14" t="n">
        <v>0.337878684833599</v>
      </c>
      <c r="I177" s="14" t="n">
        <v>0.309138184271632</v>
      </c>
      <c r="J177" s="14" t="n">
        <v>0.352983130894769</v>
      </c>
      <c r="K177" s="12" t="s">
        <v>65</v>
      </c>
      <c r="L177" s="15" t="n">
        <v>953</v>
      </c>
      <c r="M177" s="15" t="n">
        <v>4</v>
      </c>
    </row>
    <row r="178" customFormat="false" ht="15" hidden="false" customHeight="false" outlineLevel="0" collapsed="false">
      <c r="A178" s="12" t="s">
        <v>41</v>
      </c>
      <c r="B178" s="7" t="s">
        <v>42</v>
      </c>
      <c r="C178" s="12" t="s">
        <v>74</v>
      </c>
      <c r="D178" s="7" t="s">
        <v>32</v>
      </c>
      <c r="E178" s="7" t="s">
        <v>31</v>
      </c>
      <c r="F178" s="12" t="n">
        <f aca="false">IF(D178=E178,1,0)</f>
        <v>0</v>
      </c>
      <c r="G178" s="13" t="n">
        <v>0.0922693266832916</v>
      </c>
      <c r="H178" s="14" t="n">
        <v>0.353155613252277</v>
      </c>
      <c r="I178" s="14" t="n">
        <v>0.314448411743754</v>
      </c>
      <c r="J178" s="14" t="n">
        <v>0.332395975003969</v>
      </c>
      <c r="K178" s="12" t="s">
        <v>65</v>
      </c>
      <c r="L178" s="15" t="n">
        <v>953</v>
      </c>
      <c r="M178" s="15" t="n">
        <v>4</v>
      </c>
    </row>
    <row r="179" customFormat="false" ht="15" hidden="false" customHeight="false" outlineLevel="0" collapsed="false">
      <c r="A179" s="12" t="s">
        <v>43</v>
      </c>
      <c r="B179" s="7" t="s">
        <v>44</v>
      </c>
      <c r="C179" s="12" t="s">
        <v>74</v>
      </c>
      <c r="D179" s="7" t="s">
        <v>32</v>
      </c>
      <c r="E179" s="7" t="s">
        <v>31</v>
      </c>
      <c r="F179" s="12" t="n">
        <f aca="false">IF(D179=E179,1,0)</f>
        <v>0</v>
      </c>
      <c r="G179" s="13" t="n">
        <v>0.0231065468549422</v>
      </c>
      <c r="H179" s="14" t="n">
        <v>0.351007698340455</v>
      </c>
      <c r="I179" s="14" t="n">
        <v>0.315762852122336</v>
      </c>
      <c r="J179" s="14" t="n">
        <v>0.333229449537209</v>
      </c>
      <c r="K179" s="12" t="s">
        <v>65</v>
      </c>
      <c r="L179" s="15" t="n">
        <v>953</v>
      </c>
      <c r="M179" s="15" t="n">
        <v>4</v>
      </c>
    </row>
    <row r="180" customFormat="false" ht="15" hidden="false" customHeight="false" outlineLevel="0" collapsed="false">
      <c r="A180" s="12" t="s">
        <v>28</v>
      </c>
      <c r="B180" s="7" t="s">
        <v>29</v>
      </c>
      <c r="C180" s="12" t="s">
        <v>75</v>
      </c>
      <c r="D180" s="7" t="s">
        <v>32</v>
      </c>
      <c r="E180" s="7" t="s">
        <v>31</v>
      </c>
      <c r="F180" s="12" t="n">
        <f aca="false">IF(D180=E180,1,0)</f>
        <v>0</v>
      </c>
      <c r="G180" s="13" t="n">
        <v>0.133663366336634</v>
      </c>
      <c r="H180" s="14" t="n">
        <v>0.350061351982011</v>
      </c>
      <c r="I180" s="14" t="n">
        <v>0.32084953124481</v>
      </c>
      <c r="J180" s="14" t="n">
        <v>0.32908911677318</v>
      </c>
      <c r="K180" s="12" t="s">
        <v>65</v>
      </c>
      <c r="L180" s="15" t="n">
        <v>953</v>
      </c>
      <c r="M180" s="15" t="n">
        <v>4</v>
      </c>
    </row>
    <row r="181" customFormat="false" ht="15" hidden="false" customHeight="false" outlineLevel="0" collapsed="false">
      <c r="A181" s="12" t="s">
        <v>34</v>
      </c>
      <c r="B181" s="7" t="s">
        <v>35</v>
      </c>
      <c r="C181" s="12" t="s">
        <v>75</v>
      </c>
      <c r="D181" s="7" t="s">
        <v>32</v>
      </c>
      <c r="E181" s="7" t="s">
        <v>31</v>
      </c>
      <c r="F181" s="12" t="n">
        <f aca="false">IF(D181=E181,1,0)</f>
        <v>0</v>
      </c>
      <c r="G181" s="13" t="n">
        <v>0.0503018108651911</v>
      </c>
      <c r="H181" s="14" t="n">
        <v>0.351000684447373</v>
      </c>
      <c r="I181" s="14" t="n">
        <v>0.307243880139861</v>
      </c>
      <c r="J181" s="14" t="n">
        <v>0.341755435412766</v>
      </c>
      <c r="K181" s="12" t="s">
        <v>65</v>
      </c>
      <c r="L181" s="15" t="n">
        <v>953</v>
      </c>
      <c r="M181" s="15" t="n">
        <v>4</v>
      </c>
    </row>
    <row r="182" customFormat="false" ht="15" hidden="false" customHeight="false" outlineLevel="0" collapsed="false">
      <c r="A182" s="12" t="s">
        <v>36</v>
      </c>
      <c r="B182" s="7" t="s">
        <v>37</v>
      </c>
      <c r="C182" s="12" t="s">
        <v>75</v>
      </c>
      <c r="D182" s="7" t="s">
        <v>32</v>
      </c>
      <c r="E182" s="7" t="s">
        <v>31</v>
      </c>
      <c r="F182" s="12" t="n">
        <f aca="false">IF(D182=E182,1,0)</f>
        <v>0</v>
      </c>
      <c r="G182" s="13" t="n">
        <v>0.03125</v>
      </c>
      <c r="H182" s="14" t="n">
        <v>0.368849425539953</v>
      </c>
      <c r="I182" s="14" t="n">
        <v>0.31486080846662</v>
      </c>
      <c r="J182" s="14" t="n">
        <v>0.316289765993427</v>
      </c>
      <c r="K182" s="12" t="s">
        <v>65</v>
      </c>
      <c r="L182" s="15" t="n">
        <v>953</v>
      </c>
      <c r="M182" s="15" t="n">
        <v>4</v>
      </c>
    </row>
    <row r="183" customFormat="false" ht="15" hidden="false" customHeight="false" outlineLevel="0" collapsed="false">
      <c r="A183" s="12" t="s">
        <v>38</v>
      </c>
      <c r="B183" s="7" t="s">
        <v>39</v>
      </c>
      <c r="C183" s="12" t="s">
        <v>75</v>
      </c>
      <c r="D183" s="7" t="s">
        <v>31</v>
      </c>
      <c r="E183" s="7" t="s">
        <v>31</v>
      </c>
      <c r="F183" s="12" t="n">
        <f aca="false">IF(D183=E183,1,0)</f>
        <v>1</v>
      </c>
      <c r="G183" s="13" t="n">
        <v>0.248529411764706</v>
      </c>
      <c r="H183" s="14" t="n">
        <v>0.344667062248604</v>
      </c>
      <c r="I183" s="14" t="n">
        <v>0.301699826393204</v>
      </c>
      <c r="J183" s="14" t="n">
        <v>0.353633111358191</v>
      </c>
      <c r="K183" s="12" t="s">
        <v>65</v>
      </c>
      <c r="L183" s="15" t="n">
        <v>953</v>
      </c>
      <c r="M183" s="15" t="n">
        <v>4</v>
      </c>
    </row>
    <row r="184" customFormat="false" ht="15" hidden="false" customHeight="false" outlineLevel="0" collapsed="false">
      <c r="A184" s="12" t="s">
        <v>41</v>
      </c>
      <c r="B184" s="7" t="s">
        <v>42</v>
      </c>
      <c r="C184" s="12" t="s">
        <v>75</v>
      </c>
      <c r="D184" s="7" t="s">
        <v>32</v>
      </c>
      <c r="E184" s="7" t="s">
        <v>31</v>
      </c>
      <c r="F184" s="12" t="n">
        <f aca="false">IF(D184=E184,1,0)</f>
        <v>0</v>
      </c>
      <c r="G184" s="13" t="n">
        <v>0.0835443037974683</v>
      </c>
      <c r="H184" s="14" t="n">
        <v>0.345047743000978</v>
      </c>
      <c r="I184" s="14" t="n">
        <v>0.319863670382471</v>
      </c>
      <c r="J184" s="14" t="n">
        <v>0.335088586616551</v>
      </c>
      <c r="K184" s="12" t="s">
        <v>65</v>
      </c>
      <c r="L184" s="15" t="n">
        <v>953</v>
      </c>
      <c r="M184" s="15" t="n">
        <v>4</v>
      </c>
    </row>
    <row r="185" customFormat="false" ht="15" hidden="false" customHeight="false" outlineLevel="0" collapsed="false">
      <c r="A185" s="12" t="s">
        <v>43</v>
      </c>
      <c r="B185" s="7" t="s">
        <v>44</v>
      </c>
      <c r="C185" s="12" t="s">
        <v>75</v>
      </c>
      <c r="D185" s="7" t="s">
        <v>32</v>
      </c>
      <c r="E185" s="7" t="s">
        <v>31</v>
      </c>
      <c r="F185" s="12" t="n">
        <f aca="false">IF(D185=E185,1,0)</f>
        <v>0</v>
      </c>
      <c r="G185" s="13" t="n">
        <v>0.0611979166666667</v>
      </c>
      <c r="H185" s="14" t="n">
        <v>0.357062446205423</v>
      </c>
      <c r="I185" s="14" t="n">
        <v>0.330097626820436</v>
      </c>
      <c r="J185" s="14" t="n">
        <v>0.312839926974141</v>
      </c>
      <c r="K185" s="12" t="s">
        <v>65</v>
      </c>
      <c r="L185" s="15" t="n">
        <v>953</v>
      </c>
      <c r="M185" s="15" t="n">
        <v>4</v>
      </c>
    </row>
    <row r="186" customFormat="false" ht="15" hidden="false" customHeight="false" outlineLevel="0" collapsed="false">
      <c r="A186" s="12" t="s">
        <v>28</v>
      </c>
      <c r="B186" s="7" t="s">
        <v>29</v>
      </c>
      <c r="C186" s="12" t="s">
        <v>76</v>
      </c>
      <c r="D186" s="7" t="s">
        <v>32</v>
      </c>
      <c r="E186" s="7" t="s">
        <v>31</v>
      </c>
      <c r="F186" s="12" t="n">
        <f aca="false">IF(D186=E186,1,0)</f>
        <v>0</v>
      </c>
      <c r="G186" s="13" t="n">
        <v>0.227154046997389</v>
      </c>
      <c r="H186" s="14" t="n">
        <v>0.351536156846641</v>
      </c>
      <c r="I186" s="14" t="n">
        <v>0.322718635336206</v>
      </c>
      <c r="J186" s="14" t="n">
        <v>0.325745207817154</v>
      </c>
      <c r="K186" s="12" t="s">
        <v>65</v>
      </c>
      <c r="L186" s="15" t="n">
        <v>953</v>
      </c>
      <c r="M186" s="15" t="n">
        <v>4</v>
      </c>
    </row>
    <row r="187" customFormat="false" ht="15" hidden="false" customHeight="false" outlineLevel="0" collapsed="false">
      <c r="A187" s="12" t="s">
        <v>34</v>
      </c>
      <c r="B187" s="7" t="s">
        <v>35</v>
      </c>
      <c r="C187" s="12" t="s">
        <v>76</v>
      </c>
      <c r="D187" s="7" t="s">
        <v>31</v>
      </c>
      <c r="E187" s="7" t="s">
        <v>31</v>
      </c>
      <c r="F187" s="12" t="n">
        <f aca="false">IF(D187=E187,1,0)</f>
        <v>1</v>
      </c>
      <c r="G187" s="13" t="n">
        <v>0.0571428571428571</v>
      </c>
      <c r="H187" s="14" t="n">
        <v>0.344657011563287</v>
      </c>
      <c r="I187" s="14" t="n">
        <v>0.310247049210363</v>
      </c>
      <c r="J187" s="14" t="n">
        <v>0.34509593922635</v>
      </c>
      <c r="K187" s="12" t="s">
        <v>65</v>
      </c>
      <c r="L187" s="15" t="n">
        <v>953</v>
      </c>
      <c r="M187" s="15" t="n">
        <v>4</v>
      </c>
    </row>
    <row r="188" customFormat="false" ht="15" hidden="false" customHeight="false" outlineLevel="0" collapsed="false">
      <c r="A188" s="12" t="s">
        <v>36</v>
      </c>
      <c r="B188" s="7" t="s">
        <v>37</v>
      </c>
      <c r="C188" s="12" t="s">
        <v>76</v>
      </c>
      <c r="D188" s="7" t="s">
        <v>32</v>
      </c>
      <c r="E188" s="7" t="s">
        <v>31</v>
      </c>
      <c r="F188" s="12" t="n">
        <f aca="false">IF(D188=E188,1,0)</f>
        <v>0</v>
      </c>
      <c r="G188" s="13" t="n">
        <v>0.0294784580498865</v>
      </c>
      <c r="H188" s="14" t="n">
        <v>0.357484345694699</v>
      </c>
      <c r="I188" s="14" t="n">
        <v>0.303810385588548</v>
      </c>
      <c r="J188" s="14" t="n">
        <v>0.338705268716753</v>
      </c>
      <c r="K188" s="12" t="s">
        <v>65</v>
      </c>
      <c r="L188" s="15" t="n">
        <v>953</v>
      </c>
      <c r="M188" s="15" t="n">
        <v>4</v>
      </c>
    </row>
    <row r="189" customFormat="false" ht="15" hidden="false" customHeight="false" outlineLevel="0" collapsed="false">
      <c r="A189" s="12" t="s">
        <v>38</v>
      </c>
      <c r="B189" s="7" t="s">
        <v>39</v>
      </c>
      <c r="C189" s="12" t="s">
        <v>76</v>
      </c>
      <c r="D189" s="7" t="s">
        <v>31</v>
      </c>
      <c r="E189" s="7" t="s">
        <v>31</v>
      </c>
      <c r="F189" s="12" t="n">
        <f aca="false">IF(D189=E189,1,0)</f>
        <v>1</v>
      </c>
      <c r="G189" s="13" t="n">
        <v>0.351822503961965</v>
      </c>
      <c r="H189" s="14" t="n">
        <v>0.343927360628054</v>
      </c>
      <c r="I189" s="14" t="n">
        <v>0.306314114709885</v>
      </c>
      <c r="J189" s="14" t="n">
        <v>0.349758524662061</v>
      </c>
      <c r="K189" s="12" t="s">
        <v>65</v>
      </c>
      <c r="L189" s="15" t="n">
        <v>953</v>
      </c>
      <c r="M189" s="15" t="n">
        <v>4</v>
      </c>
    </row>
    <row r="190" customFormat="false" ht="15" hidden="false" customHeight="false" outlineLevel="0" collapsed="false">
      <c r="A190" s="12" t="s">
        <v>41</v>
      </c>
      <c r="B190" s="7" t="s">
        <v>42</v>
      </c>
      <c r="C190" s="12" t="s">
        <v>76</v>
      </c>
      <c r="D190" s="7" t="s">
        <v>31</v>
      </c>
      <c r="E190" s="7" t="s">
        <v>31</v>
      </c>
      <c r="F190" s="12" t="n">
        <f aca="false">IF(D190=E190,1,0)</f>
        <v>1</v>
      </c>
      <c r="G190" s="13" t="n">
        <v>0.0736040609137056</v>
      </c>
      <c r="H190" s="14" t="n">
        <v>0.339664450334454</v>
      </c>
      <c r="I190" s="14" t="n">
        <v>0.320062356124505</v>
      </c>
      <c r="J190" s="14" t="n">
        <v>0.340273193541042</v>
      </c>
      <c r="K190" s="12" t="s">
        <v>65</v>
      </c>
      <c r="L190" s="15" t="n">
        <v>953</v>
      </c>
      <c r="M190" s="15" t="n">
        <v>4</v>
      </c>
    </row>
    <row r="191" customFormat="false" ht="15" hidden="false" customHeight="false" outlineLevel="0" collapsed="false">
      <c r="A191" s="12" t="s">
        <v>43</v>
      </c>
      <c r="B191" s="7" t="s">
        <v>44</v>
      </c>
      <c r="C191" s="12" t="s">
        <v>76</v>
      </c>
      <c r="D191" s="7" t="s">
        <v>32</v>
      </c>
      <c r="E191" s="7" t="s">
        <v>31</v>
      </c>
      <c r="F191" s="12" t="n">
        <f aca="false">IF(D191=E191,1,0)</f>
        <v>0</v>
      </c>
      <c r="G191" s="13" t="n">
        <v>0.0681233933161953</v>
      </c>
      <c r="H191" s="14" t="n">
        <v>0.334721541107907</v>
      </c>
      <c r="I191" s="14" t="n">
        <v>0.33385425300071</v>
      </c>
      <c r="J191" s="14" t="n">
        <v>0.331424205891383</v>
      </c>
      <c r="K191" s="12" t="s">
        <v>65</v>
      </c>
      <c r="L191" s="15" t="n">
        <v>953</v>
      </c>
      <c r="M191" s="15" t="n">
        <v>4</v>
      </c>
    </row>
    <row r="192" customFormat="false" ht="15" hidden="false" customHeight="false" outlineLevel="0" collapsed="false">
      <c r="A192" s="12" t="s">
        <v>28</v>
      </c>
      <c r="B192" s="7" t="s">
        <v>29</v>
      </c>
      <c r="C192" s="12" t="s">
        <v>77</v>
      </c>
      <c r="D192" s="7" t="s">
        <v>32</v>
      </c>
      <c r="E192" s="7" t="s">
        <v>31</v>
      </c>
      <c r="F192" s="12" t="n">
        <f aca="false">IF(D192=E192,1,0)</f>
        <v>0</v>
      </c>
      <c r="G192" s="13" t="n">
        <v>0.315926892950392</v>
      </c>
      <c r="H192" s="14" t="n">
        <v>0.345178752735448</v>
      </c>
      <c r="I192" s="14" t="n">
        <v>0.325882501449493</v>
      </c>
      <c r="J192" s="14" t="n">
        <v>0.32893874581506</v>
      </c>
      <c r="K192" s="12" t="s">
        <v>65</v>
      </c>
      <c r="L192" s="15" t="n">
        <v>953</v>
      </c>
      <c r="M192" s="15" t="n">
        <v>4</v>
      </c>
    </row>
    <row r="193" customFormat="false" ht="15" hidden="false" customHeight="false" outlineLevel="0" collapsed="false">
      <c r="A193" s="12" t="s">
        <v>34</v>
      </c>
      <c r="B193" s="7" t="s">
        <v>35</v>
      </c>
      <c r="C193" s="12" t="s">
        <v>77</v>
      </c>
      <c r="D193" s="7" t="s">
        <v>31</v>
      </c>
      <c r="E193" s="7" t="s">
        <v>31</v>
      </c>
      <c r="F193" s="12" t="n">
        <f aca="false">IF(D193=E193,1,0)</f>
        <v>1</v>
      </c>
      <c r="G193" s="13" t="n">
        <v>0.1</v>
      </c>
      <c r="H193" s="14" t="n">
        <v>0.348855852250374</v>
      </c>
      <c r="I193" s="14" t="n">
        <v>0.298453260234396</v>
      </c>
      <c r="J193" s="14" t="n">
        <v>0.35269088751523</v>
      </c>
      <c r="K193" s="12" t="s">
        <v>65</v>
      </c>
      <c r="L193" s="15" t="n">
        <v>953</v>
      </c>
      <c r="M193" s="15" t="n">
        <v>4</v>
      </c>
    </row>
    <row r="194" customFormat="false" ht="15" hidden="false" customHeight="false" outlineLevel="0" collapsed="false">
      <c r="A194" s="12" t="s">
        <v>36</v>
      </c>
      <c r="B194" s="7" t="s">
        <v>37</v>
      </c>
      <c r="C194" s="12" t="s">
        <v>77</v>
      </c>
      <c r="D194" s="7" t="s">
        <v>32</v>
      </c>
      <c r="E194" s="7" t="s">
        <v>31</v>
      </c>
      <c r="F194" s="12" t="n">
        <f aca="false">IF(D194=E194,1,0)</f>
        <v>0</v>
      </c>
      <c r="G194" s="13" t="n">
        <v>0.0526315789473683</v>
      </c>
      <c r="H194" s="14" t="n">
        <v>0.363122761685064</v>
      </c>
      <c r="I194" s="14" t="n">
        <v>0.307655919850485</v>
      </c>
      <c r="J194" s="14" t="n">
        <v>0.329221318464451</v>
      </c>
      <c r="K194" s="12" t="s">
        <v>65</v>
      </c>
      <c r="L194" s="15" t="n">
        <v>953</v>
      </c>
      <c r="M194" s="15" t="n">
        <v>4</v>
      </c>
    </row>
    <row r="195" customFormat="false" ht="15" hidden="false" customHeight="false" outlineLevel="0" collapsed="false">
      <c r="A195" s="12" t="s">
        <v>38</v>
      </c>
      <c r="B195" s="7" t="s">
        <v>39</v>
      </c>
      <c r="C195" s="12" t="s">
        <v>77</v>
      </c>
      <c r="D195" s="7" t="s">
        <v>31</v>
      </c>
      <c r="E195" s="7" t="s">
        <v>31</v>
      </c>
      <c r="F195" s="12" t="n">
        <f aca="false">IF(D195=E195,1,0)</f>
        <v>1</v>
      </c>
      <c r="G195" s="13" t="n">
        <v>0.436532507739938</v>
      </c>
      <c r="H195" s="14" t="n">
        <v>0.346672964456834</v>
      </c>
      <c r="I195" s="14" t="n">
        <v>0.300776356332229</v>
      </c>
      <c r="J195" s="14" t="n">
        <v>0.352550679210937</v>
      </c>
      <c r="K195" s="12" t="s">
        <v>65</v>
      </c>
      <c r="L195" s="15" t="n">
        <v>953</v>
      </c>
      <c r="M195" s="15" t="n">
        <v>4</v>
      </c>
    </row>
    <row r="196" customFormat="false" ht="15" hidden="false" customHeight="false" outlineLevel="0" collapsed="false">
      <c r="A196" s="12" t="s">
        <v>41</v>
      </c>
      <c r="B196" s="7" t="s">
        <v>42</v>
      </c>
      <c r="C196" s="12" t="s">
        <v>77</v>
      </c>
      <c r="D196" s="7" t="s">
        <v>32</v>
      </c>
      <c r="E196" s="7" t="s">
        <v>40</v>
      </c>
      <c r="F196" s="12" t="n">
        <f aca="false">IF(D196=E196,1,0)</f>
        <v>0</v>
      </c>
      <c r="G196" s="13" t="n">
        <v>-0.0047058823529412</v>
      </c>
      <c r="H196" s="14" t="n">
        <v>0.356502226978592</v>
      </c>
      <c r="I196" s="14" t="n">
        <v>0.309171014509889</v>
      </c>
      <c r="J196" s="14" t="n">
        <v>0.334326758511519</v>
      </c>
      <c r="K196" s="12" t="s">
        <v>65</v>
      </c>
      <c r="L196" s="15" t="n">
        <v>953</v>
      </c>
      <c r="M196" s="15" t="n">
        <v>4</v>
      </c>
    </row>
    <row r="197" customFormat="false" ht="15" hidden="false" customHeight="false" outlineLevel="0" collapsed="false">
      <c r="A197" s="12" t="s">
        <v>43</v>
      </c>
      <c r="B197" s="7" t="s">
        <v>44</v>
      </c>
      <c r="C197" s="12" t="s">
        <v>77</v>
      </c>
      <c r="D197" s="7" t="s">
        <v>32</v>
      </c>
      <c r="E197" s="7" t="s">
        <v>31</v>
      </c>
      <c r="F197" s="12" t="n">
        <f aca="false">IF(D197=E197,1,0)</f>
        <v>0</v>
      </c>
      <c r="G197" s="13" t="n">
        <v>0.0962772785622592</v>
      </c>
      <c r="H197" s="14" t="n">
        <v>0.342801624639586</v>
      </c>
      <c r="I197" s="14" t="n">
        <v>0.337419431757182</v>
      </c>
      <c r="J197" s="14" t="n">
        <v>0.319778943603232</v>
      </c>
      <c r="K197" s="12" t="s">
        <v>65</v>
      </c>
      <c r="L197" s="15" t="n">
        <v>953</v>
      </c>
      <c r="M197" s="15" t="n">
        <v>4</v>
      </c>
    </row>
    <row r="198" customFormat="false" ht="15" hidden="false" customHeight="false" outlineLevel="0" collapsed="false">
      <c r="A198" s="12" t="s">
        <v>28</v>
      </c>
      <c r="B198" s="7" t="s">
        <v>29</v>
      </c>
      <c r="C198" s="12" t="s">
        <v>78</v>
      </c>
      <c r="D198" s="7" t="s">
        <v>31</v>
      </c>
      <c r="E198" s="7" t="s">
        <v>31</v>
      </c>
      <c r="F198" s="12" t="n">
        <f aca="false">IF(D198=E198,1,0)</f>
        <v>1</v>
      </c>
      <c r="G198" s="13" t="n">
        <v>0.177339901477833</v>
      </c>
      <c r="H198" s="14" t="n">
        <v>0.339837173151729</v>
      </c>
      <c r="I198" s="14" t="n">
        <v>0.320220753469218</v>
      </c>
      <c r="J198" s="14" t="n">
        <v>0.339942073379053</v>
      </c>
      <c r="K198" s="12" t="s">
        <v>65</v>
      </c>
      <c r="L198" s="15" t="n">
        <v>953</v>
      </c>
      <c r="M198" s="15" t="n">
        <v>4</v>
      </c>
    </row>
    <row r="199" customFormat="false" ht="15" hidden="false" customHeight="false" outlineLevel="0" collapsed="false">
      <c r="A199" s="12" t="s">
        <v>34</v>
      </c>
      <c r="B199" s="7" t="s">
        <v>35</v>
      </c>
      <c r="C199" s="12" t="s">
        <v>78</v>
      </c>
      <c r="D199" s="7" t="s">
        <v>31</v>
      </c>
      <c r="E199" s="7" t="s">
        <v>31</v>
      </c>
      <c r="F199" s="12" t="n">
        <f aca="false">IF(D199=E199,1,0)</f>
        <v>1</v>
      </c>
      <c r="G199" s="13" t="n">
        <v>0.0626262626262625</v>
      </c>
      <c r="H199" s="14" t="n">
        <v>0.334696631813817</v>
      </c>
      <c r="I199" s="14" t="n">
        <v>0.3016150751518</v>
      </c>
      <c r="J199" s="14" t="n">
        <v>0.363688293034383</v>
      </c>
      <c r="K199" s="12" t="s">
        <v>65</v>
      </c>
      <c r="L199" s="15" t="n">
        <v>953</v>
      </c>
      <c r="M199" s="15" t="n">
        <v>4</v>
      </c>
    </row>
    <row r="200" customFormat="false" ht="15" hidden="false" customHeight="false" outlineLevel="0" collapsed="false">
      <c r="A200" s="12" t="s">
        <v>36</v>
      </c>
      <c r="B200" s="7" t="s">
        <v>37</v>
      </c>
      <c r="C200" s="12" t="s">
        <v>78</v>
      </c>
      <c r="D200" s="7" t="s">
        <v>32</v>
      </c>
      <c r="E200" s="7" t="s">
        <v>31</v>
      </c>
      <c r="F200" s="12" t="n">
        <f aca="false">IF(D200=E200,1,0)</f>
        <v>0</v>
      </c>
      <c r="G200" s="13" t="n">
        <v>0.0291479820627802</v>
      </c>
      <c r="H200" s="14" t="n">
        <v>0.356832008872811</v>
      </c>
      <c r="I200" s="14" t="n">
        <v>0.307725412816565</v>
      </c>
      <c r="J200" s="14" t="n">
        <v>0.335442578310624</v>
      </c>
      <c r="K200" s="12" t="s">
        <v>65</v>
      </c>
      <c r="L200" s="15" t="n">
        <v>953</v>
      </c>
      <c r="M200" s="15" t="n">
        <v>4</v>
      </c>
    </row>
    <row r="201" customFormat="false" ht="15" hidden="false" customHeight="false" outlineLevel="0" collapsed="false">
      <c r="A201" s="12" t="s">
        <v>38</v>
      </c>
      <c r="B201" s="7" t="s">
        <v>39</v>
      </c>
      <c r="C201" s="12" t="s">
        <v>78</v>
      </c>
      <c r="D201" s="7" t="s">
        <v>31</v>
      </c>
      <c r="E201" s="7" t="s">
        <v>31</v>
      </c>
      <c r="F201" s="12" t="n">
        <f aca="false">IF(D201=E201,1,0)</f>
        <v>1</v>
      </c>
      <c r="G201" s="13" t="n">
        <v>0.24225352112676</v>
      </c>
      <c r="H201" s="14" t="n">
        <v>0.346755712000826</v>
      </c>
      <c r="I201" s="14" t="n">
        <v>0.297468193480374</v>
      </c>
      <c r="J201" s="14" t="n">
        <v>0.355776094518801</v>
      </c>
      <c r="K201" s="12" t="s">
        <v>65</v>
      </c>
      <c r="L201" s="15" t="n">
        <v>953</v>
      </c>
      <c r="M201" s="15" t="n">
        <v>4</v>
      </c>
    </row>
    <row r="202" customFormat="false" ht="15" hidden="false" customHeight="false" outlineLevel="0" collapsed="false">
      <c r="A202" s="12" t="s">
        <v>41</v>
      </c>
      <c r="B202" s="7" t="s">
        <v>42</v>
      </c>
      <c r="C202" s="12" t="s">
        <v>78</v>
      </c>
      <c r="D202" s="7" t="s">
        <v>32</v>
      </c>
      <c r="E202" s="7" t="s">
        <v>40</v>
      </c>
      <c r="F202" s="12" t="n">
        <f aca="false">IF(D202=E202,1,0)</f>
        <v>0</v>
      </c>
      <c r="G202" s="13" t="n">
        <v>-0.0047169811320755</v>
      </c>
      <c r="H202" s="14" t="n">
        <v>0.369573662975287</v>
      </c>
      <c r="I202" s="14" t="n">
        <v>0.31024140040278</v>
      </c>
      <c r="J202" s="14" t="n">
        <v>0.320184936621933</v>
      </c>
      <c r="K202" s="12" t="s">
        <v>65</v>
      </c>
      <c r="L202" s="15" t="n">
        <v>953</v>
      </c>
      <c r="M202" s="15" t="n">
        <v>4</v>
      </c>
    </row>
    <row r="203" customFormat="false" ht="15" hidden="false" customHeight="false" outlineLevel="0" collapsed="false">
      <c r="A203" s="12" t="s">
        <v>43</v>
      </c>
      <c r="B203" s="7" t="s">
        <v>44</v>
      </c>
      <c r="C203" s="12" t="s">
        <v>78</v>
      </c>
      <c r="D203" s="7" t="s">
        <v>32</v>
      </c>
      <c r="E203" s="7" t="s">
        <v>31</v>
      </c>
      <c r="F203" s="12" t="n">
        <f aca="false">IF(D203=E203,1,0)</f>
        <v>0</v>
      </c>
      <c r="G203" s="13" t="n">
        <v>0.0775095298602286</v>
      </c>
      <c r="H203" s="14" t="n">
        <v>0.363152094809801</v>
      </c>
      <c r="I203" s="14" t="n">
        <v>0.333438587135159</v>
      </c>
      <c r="J203" s="14" t="n">
        <v>0.30340931805504</v>
      </c>
      <c r="K203" s="12" t="s">
        <v>65</v>
      </c>
      <c r="L203" s="15" t="n">
        <v>953</v>
      </c>
      <c r="M203" s="15" t="n">
        <v>4</v>
      </c>
    </row>
    <row r="204" customFormat="false" ht="15" hidden="false" customHeight="false" outlineLevel="0" collapsed="false">
      <c r="A204" s="12" t="s">
        <v>28</v>
      </c>
      <c r="B204" s="7" t="s">
        <v>29</v>
      </c>
      <c r="C204" s="12" t="s">
        <v>79</v>
      </c>
      <c r="D204" s="7" t="s">
        <v>32</v>
      </c>
      <c r="E204" s="7" t="s">
        <v>31</v>
      </c>
      <c r="F204" s="12" t="n">
        <f aca="false">IF(D204=E204,1,0)</f>
        <v>0</v>
      </c>
      <c r="G204" s="13" t="n">
        <v>0.167064439140811</v>
      </c>
      <c r="H204" s="14" t="n">
        <v>0.355317173546899</v>
      </c>
      <c r="I204" s="14" t="n">
        <v>0.305811094771461</v>
      </c>
      <c r="J204" s="14" t="n">
        <v>0.338871731681641</v>
      </c>
      <c r="K204" s="12" t="s">
        <v>65</v>
      </c>
      <c r="L204" s="15" t="n">
        <v>953</v>
      </c>
      <c r="M204" s="15" t="n">
        <v>4</v>
      </c>
    </row>
    <row r="205" customFormat="false" ht="15" hidden="false" customHeight="false" outlineLevel="0" collapsed="false">
      <c r="A205" s="12" t="s">
        <v>34</v>
      </c>
      <c r="B205" s="7" t="s">
        <v>35</v>
      </c>
      <c r="C205" s="12" t="s">
        <v>79</v>
      </c>
      <c r="D205" s="7" t="s">
        <v>32</v>
      </c>
      <c r="E205" s="7" t="s">
        <v>31</v>
      </c>
      <c r="F205" s="12" t="n">
        <f aca="false">IF(D205=E205,1,0)</f>
        <v>0</v>
      </c>
      <c r="G205" s="13" t="n">
        <v>0.156</v>
      </c>
      <c r="H205" s="14" t="n">
        <v>0.351606168384199</v>
      </c>
      <c r="I205" s="14" t="n">
        <v>0.301629210726757</v>
      </c>
      <c r="J205" s="14" t="n">
        <v>0.346764620889045</v>
      </c>
      <c r="K205" s="12" t="s">
        <v>65</v>
      </c>
      <c r="L205" s="15" t="n">
        <v>953</v>
      </c>
      <c r="M205" s="15" t="n">
        <v>4</v>
      </c>
    </row>
    <row r="206" customFormat="false" ht="15" hidden="false" customHeight="false" outlineLevel="0" collapsed="false">
      <c r="A206" s="12" t="s">
        <v>36</v>
      </c>
      <c r="B206" s="7" t="s">
        <v>37</v>
      </c>
      <c r="C206" s="12" t="s">
        <v>79</v>
      </c>
      <c r="D206" s="7" t="s">
        <v>32</v>
      </c>
      <c r="E206" s="7" t="s">
        <v>31</v>
      </c>
      <c r="F206" s="12" t="n">
        <f aca="false">IF(D206=E206,1,0)</f>
        <v>0</v>
      </c>
      <c r="G206" s="13" t="n">
        <v>0.0443458980044346</v>
      </c>
      <c r="H206" s="14" t="n">
        <v>0.386285609048649</v>
      </c>
      <c r="I206" s="14" t="n">
        <v>0.310007570266352</v>
      </c>
      <c r="J206" s="14" t="n">
        <v>0.303706820684999</v>
      </c>
      <c r="K206" s="12" t="s">
        <v>65</v>
      </c>
      <c r="L206" s="15" t="n">
        <v>953</v>
      </c>
      <c r="M206" s="15" t="n">
        <v>4</v>
      </c>
    </row>
    <row r="207" customFormat="false" ht="15" hidden="false" customHeight="false" outlineLevel="0" collapsed="false">
      <c r="A207" s="12" t="s">
        <v>38</v>
      </c>
      <c r="B207" s="7" t="s">
        <v>39</v>
      </c>
      <c r="C207" s="12" t="s">
        <v>79</v>
      </c>
      <c r="D207" s="7" t="s">
        <v>32</v>
      </c>
      <c r="E207" s="7" t="s">
        <v>31</v>
      </c>
      <c r="F207" s="12" t="n">
        <f aca="false">IF(D207=E207,1,0)</f>
        <v>0</v>
      </c>
      <c r="G207" s="13" t="n">
        <v>0.116580310880829</v>
      </c>
      <c r="H207" s="14" t="n">
        <v>0.362207794529011</v>
      </c>
      <c r="I207" s="14" t="n">
        <v>0.297991158450129</v>
      </c>
      <c r="J207" s="14" t="n">
        <v>0.33980104702086</v>
      </c>
      <c r="K207" s="12" t="s">
        <v>65</v>
      </c>
      <c r="L207" s="15" t="n">
        <v>953</v>
      </c>
      <c r="M207" s="15" t="n">
        <v>4</v>
      </c>
    </row>
    <row r="208" customFormat="false" ht="15" hidden="false" customHeight="false" outlineLevel="0" collapsed="false">
      <c r="A208" s="12" t="s">
        <v>41</v>
      </c>
      <c r="B208" s="7" t="s">
        <v>42</v>
      </c>
      <c r="C208" s="12" t="s">
        <v>79</v>
      </c>
      <c r="D208" s="7" t="s">
        <v>32</v>
      </c>
      <c r="E208" s="7" t="s">
        <v>32</v>
      </c>
      <c r="F208" s="12" t="n">
        <f aca="false">IF(D208=E208,1,0)</f>
        <v>1</v>
      </c>
      <c r="G208" s="13" t="n">
        <v>-0.0273972602739726</v>
      </c>
      <c r="H208" s="14" t="n">
        <v>0.375241106284014</v>
      </c>
      <c r="I208" s="14" t="n">
        <v>0.295079172377609</v>
      </c>
      <c r="J208" s="14" t="n">
        <v>0.329679721338377</v>
      </c>
      <c r="K208" s="12" t="s">
        <v>65</v>
      </c>
      <c r="L208" s="15" t="n">
        <v>953</v>
      </c>
      <c r="M208" s="15" t="n">
        <v>4</v>
      </c>
    </row>
    <row r="209" customFormat="false" ht="15" hidden="false" customHeight="false" outlineLevel="0" collapsed="false">
      <c r="A209" s="12" t="s">
        <v>43</v>
      </c>
      <c r="B209" s="7" t="s">
        <v>44</v>
      </c>
      <c r="C209" s="12" t="s">
        <v>79</v>
      </c>
      <c r="D209" s="7" t="s">
        <v>32</v>
      </c>
      <c r="E209" s="7" t="s">
        <v>31</v>
      </c>
      <c r="F209" s="12" t="n">
        <f aca="false">IF(D209=E209,1,0)</f>
        <v>0</v>
      </c>
      <c r="G209" s="13" t="n">
        <v>0.0752823086574654</v>
      </c>
      <c r="H209" s="14" t="n">
        <v>0.359680611682105</v>
      </c>
      <c r="I209" s="14" t="n">
        <v>0.321022794839061</v>
      </c>
      <c r="J209" s="14" t="n">
        <v>0.319296593478834</v>
      </c>
      <c r="K209" s="12" t="s">
        <v>65</v>
      </c>
      <c r="L209" s="15" t="n">
        <v>953</v>
      </c>
      <c r="M209" s="15" t="n">
        <v>4</v>
      </c>
    </row>
    <row r="210" customFormat="false" ht="15" hidden="false" customHeight="false" outlineLevel="0" collapsed="false">
      <c r="A210" s="12" t="s">
        <v>28</v>
      </c>
      <c r="B210" s="7" t="s">
        <v>29</v>
      </c>
      <c r="C210" s="12" t="s">
        <v>80</v>
      </c>
      <c r="D210" s="7" t="s">
        <v>32</v>
      </c>
      <c r="E210" s="7" t="s">
        <v>31</v>
      </c>
      <c r="F210" s="12" t="n">
        <f aca="false">IF(D210=E210,1,0)</f>
        <v>0</v>
      </c>
      <c r="G210" s="13" t="n">
        <v>0.056768558951965</v>
      </c>
      <c r="H210" s="14" t="n">
        <v>0.361982655193887</v>
      </c>
      <c r="I210" s="14" t="n">
        <v>0.288505771174259</v>
      </c>
      <c r="J210" s="14" t="n">
        <v>0.349511573631854</v>
      </c>
      <c r="K210" s="12" t="s">
        <v>65</v>
      </c>
      <c r="L210" s="15" t="n">
        <v>953</v>
      </c>
      <c r="M210" s="15" t="n">
        <v>4</v>
      </c>
    </row>
    <row r="211" customFormat="false" ht="15" hidden="false" customHeight="false" outlineLevel="0" collapsed="false">
      <c r="A211" s="12" t="s">
        <v>34</v>
      </c>
      <c r="B211" s="7" t="s">
        <v>35</v>
      </c>
      <c r="C211" s="12" t="s">
        <v>80</v>
      </c>
      <c r="D211" s="7" t="s">
        <v>32</v>
      </c>
      <c r="E211" s="7" t="s">
        <v>31</v>
      </c>
      <c r="F211" s="12" t="n">
        <f aca="false">IF(D211=E211,1,0)</f>
        <v>0</v>
      </c>
      <c r="G211" s="13" t="n">
        <v>0.124521072796935</v>
      </c>
      <c r="H211" s="14" t="n">
        <v>0.361203242045757</v>
      </c>
      <c r="I211" s="14" t="n">
        <v>0.297164705340256</v>
      </c>
      <c r="J211" s="14" t="n">
        <v>0.341632052613987</v>
      </c>
      <c r="K211" s="12" t="s">
        <v>65</v>
      </c>
      <c r="L211" s="15" t="n">
        <v>953</v>
      </c>
      <c r="M211" s="15" t="n">
        <v>4</v>
      </c>
    </row>
    <row r="212" customFormat="false" ht="15" hidden="false" customHeight="false" outlineLevel="0" collapsed="false">
      <c r="A212" s="12" t="s">
        <v>36</v>
      </c>
      <c r="B212" s="7" t="s">
        <v>37</v>
      </c>
      <c r="C212" s="12" t="s">
        <v>80</v>
      </c>
      <c r="D212" s="7" t="s">
        <v>32</v>
      </c>
      <c r="E212" s="7" t="s">
        <v>31</v>
      </c>
      <c r="F212" s="12" t="n">
        <f aca="false">IF(D212=E212,1,0)</f>
        <v>0</v>
      </c>
      <c r="G212" s="13" t="n">
        <v>0.0194805194805194</v>
      </c>
      <c r="H212" s="14" t="n">
        <v>0.390114153767747</v>
      </c>
      <c r="I212" s="14" t="n">
        <v>0.294510273687324</v>
      </c>
      <c r="J212" s="14" t="n">
        <v>0.315375572544929</v>
      </c>
      <c r="K212" s="12" t="s">
        <v>65</v>
      </c>
      <c r="L212" s="15" t="n">
        <v>953</v>
      </c>
      <c r="M212" s="15" t="n">
        <v>4</v>
      </c>
    </row>
    <row r="213" customFormat="false" ht="15" hidden="false" customHeight="false" outlineLevel="0" collapsed="false">
      <c r="A213" s="12" t="s">
        <v>41</v>
      </c>
      <c r="B213" s="7" t="s">
        <v>42</v>
      </c>
      <c r="C213" s="12" t="s">
        <v>80</v>
      </c>
      <c r="D213" s="7" t="s">
        <v>32</v>
      </c>
      <c r="E213" s="7" t="s">
        <v>31</v>
      </c>
      <c r="F213" s="12" t="n">
        <f aca="false">IF(D213=E213,1,0)</f>
        <v>0</v>
      </c>
      <c r="G213" s="13" t="n">
        <v>0.0467289719626167</v>
      </c>
      <c r="H213" s="14" t="n">
        <v>0.36847429698773</v>
      </c>
      <c r="I213" s="14" t="n">
        <v>0.293794547333819</v>
      </c>
      <c r="J213" s="14" t="n">
        <v>0.337731155678451</v>
      </c>
      <c r="K213" s="12" t="s">
        <v>65</v>
      </c>
      <c r="L213" s="15" t="n">
        <v>953</v>
      </c>
      <c r="M213" s="15" t="n">
        <v>4</v>
      </c>
    </row>
    <row r="214" customFormat="false" ht="15" hidden="false" customHeight="false" outlineLevel="0" collapsed="false">
      <c r="A214" s="12" t="s">
        <v>43</v>
      </c>
      <c r="B214" s="7" t="s">
        <v>44</v>
      </c>
      <c r="C214" s="12" t="s">
        <v>80</v>
      </c>
      <c r="D214" s="7" t="s">
        <v>32</v>
      </c>
      <c r="E214" s="7" t="s">
        <v>31</v>
      </c>
      <c r="F214" s="12" t="n">
        <f aca="false">IF(D214=E214,1,0)</f>
        <v>0</v>
      </c>
      <c r="G214" s="13" t="n">
        <v>0.0822085889570551</v>
      </c>
      <c r="H214" s="14" t="n">
        <v>0.355706765851012</v>
      </c>
      <c r="I214" s="14" t="n">
        <v>0.330139158994384</v>
      </c>
      <c r="J214" s="14" t="n">
        <v>0.314154075154604</v>
      </c>
      <c r="K214" s="12" t="s">
        <v>65</v>
      </c>
      <c r="L214" s="15" t="n">
        <v>953</v>
      </c>
      <c r="M214" s="15" t="n">
        <v>4</v>
      </c>
    </row>
    <row r="215" customFormat="false" ht="15" hidden="false" customHeight="false" outlineLevel="0" collapsed="false">
      <c r="A215" s="12" t="s">
        <v>28</v>
      </c>
      <c r="B215" s="7" t="s">
        <v>29</v>
      </c>
      <c r="C215" s="12" t="s">
        <v>81</v>
      </c>
      <c r="D215" s="7" t="s">
        <v>32</v>
      </c>
      <c r="E215" s="7" t="s">
        <v>40</v>
      </c>
      <c r="F215" s="12" t="n">
        <f aca="false">IF(D215=E215,1,0)</f>
        <v>0</v>
      </c>
      <c r="G215" s="13" t="n">
        <v>0.004255319148936</v>
      </c>
      <c r="H215" s="14" t="n">
        <v>0.373584611746477</v>
      </c>
      <c r="I215" s="14" t="n">
        <v>0.297752709872309</v>
      </c>
      <c r="J215" s="14" t="n">
        <v>0.328662678381213</v>
      </c>
      <c r="K215" s="12" t="s">
        <v>65</v>
      </c>
      <c r="L215" s="15" t="n">
        <v>953</v>
      </c>
      <c r="M215" s="15" t="n">
        <v>4</v>
      </c>
    </row>
    <row r="216" customFormat="false" ht="15" hidden="false" customHeight="false" outlineLevel="0" collapsed="false">
      <c r="A216" s="12" t="s">
        <v>34</v>
      </c>
      <c r="B216" s="7" t="s">
        <v>35</v>
      </c>
      <c r="C216" s="12" t="s">
        <v>81</v>
      </c>
      <c r="D216" s="7" t="s">
        <v>32</v>
      </c>
      <c r="E216" s="7" t="s">
        <v>31</v>
      </c>
      <c r="F216" s="12" t="n">
        <f aca="false">IF(D216=E216,1,0)</f>
        <v>0</v>
      </c>
      <c r="G216" s="13" t="n">
        <v>0.164092664092664</v>
      </c>
      <c r="H216" s="14" t="n">
        <v>0.356844264658019</v>
      </c>
      <c r="I216" s="14" t="n">
        <v>0.299192477420942</v>
      </c>
      <c r="J216" s="14" t="n">
        <v>0.343963257921039</v>
      </c>
      <c r="K216" s="12" t="s">
        <v>65</v>
      </c>
      <c r="L216" s="15" t="n">
        <v>953</v>
      </c>
      <c r="M216" s="15" t="n">
        <v>4</v>
      </c>
    </row>
    <row r="217" customFormat="false" ht="15" hidden="false" customHeight="false" outlineLevel="0" collapsed="false">
      <c r="A217" s="12" t="s">
        <v>36</v>
      </c>
      <c r="B217" s="7" t="s">
        <v>37</v>
      </c>
      <c r="C217" s="12" t="s">
        <v>81</v>
      </c>
      <c r="D217" s="7" t="s">
        <v>32</v>
      </c>
      <c r="E217" s="7" t="s">
        <v>31</v>
      </c>
      <c r="F217" s="12" t="n">
        <f aca="false">IF(D217=E217,1,0)</f>
        <v>0</v>
      </c>
      <c r="G217" s="13" t="n">
        <v>0.0484581497797356</v>
      </c>
      <c r="H217" s="14" t="n">
        <v>0.381294643561226</v>
      </c>
      <c r="I217" s="14" t="n">
        <v>0.304609886811997</v>
      </c>
      <c r="J217" s="14" t="n">
        <v>0.314095469626777</v>
      </c>
      <c r="K217" s="12" t="s">
        <v>65</v>
      </c>
      <c r="L217" s="15" t="n">
        <v>953</v>
      </c>
      <c r="M217" s="15" t="n">
        <v>4</v>
      </c>
    </row>
    <row r="218" customFormat="false" ht="15" hidden="false" customHeight="false" outlineLevel="0" collapsed="false">
      <c r="A218" s="12" t="s">
        <v>38</v>
      </c>
      <c r="B218" s="7" t="s">
        <v>39</v>
      </c>
      <c r="C218" s="12" t="s">
        <v>81</v>
      </c>
      <c r="D218" s="7" t="s">
        <v>32</v>
      </c>
      <c r="E218" s="7" t="s">
        <v>31</v>
      </c>
      <c r="F218" s="12" t="n">
        <f aca="false">IF(D218=E218,1,0)</f>
        <v>0</v>
      </c>
      <c r="G218" s="13" t="n">
        <v>0.0609613130128956</v>
      </c>
      <c r="H218" s="14" t="n">
        <v>0.347792065925898</v>
      </c>
      <c r="I218" s="14" t="n">
        <v>0.335052021161153</v>
      </c>
      <c r="J218" s="14" t="n">
        <v>0.31715591291295</v>
      </c>
      <c r="K218" s="12" t="s">
        <v>65</v>
      </c>
      <c r="L218" s="15" t="n">
        <v>953</v>
      </c>
      <c r="M218" s="15" t="n">
        <v>4</v>
      </c>
    </row>
    <row r="219" customFormat="false" ht="15" hidden="false" customHeight="false" outlineLevel="0" collapsed="false">
      <c r="A219" s="12" t="s">
        <v>41</v>
      </c>
      <c r="B219" s="7" t="s">
        <v>42</v>
      </c>
      <c r="C219" s="12" t="s">
        <v>81</v>
      </c>
      <c r="D219" s="7" t="s">
        <v>32</v>
      </c>
      <c r="E219" s="7" t="s">
        <v>31</v>
      </c>
      <c r="F219" s="12" t="n">
        <f aca="false">IF(D219=E219,1,0)</f>
        <v>0</v>
      </c>
      <c r="G219" s="13" t="n">
        <v>0.0921985815602837</v>
      </c>
      <c r="H219" s="14" t="n">
        <v>0.351550709192296</v>
      </c>
      <c r="I219" s="14" t="n">
        <v>0.300935278845578</v>
      </c>
      <c r="J219" s="14" t="n">
        <v>0.347514011962127</v>
      </c>
      <c r="K219" s="12" t="s">
        <v>65</v>
      </c>
      <c r="L219" s="15" t="n">
        <v>953</v>
      </c>
      <c r="M219" s="15" t="n">
        <v>4</v>
      </c>
    </row>
    <row r="220" customFormat="false" ht="15" hidden="false" customHeight="false" outlineLevel="0" collapsed="false">
      <c r="A220" s="12" t="s">
        <v>43</v>
      </c>
      <c r="B220" s="7" t="s">
        <v>44</v>
      </c>
      <c r="C220" s="12" t="s">
        <v>81</v>
      </c>
      <c r="D220" s="7" t="s">
        <v>32</v>
      </c>
      <c r="E220" s="7" t="s">
        <v>31</v>
      </c>
      <c r="F220" s="12" t="n">
        <f aca="false">IF(D220=E220,1,0)</f>
        <v>0</v>
      </c>
      <c r="G220" s="13" t="n">
        <v>0.0734055354993983</v>
      </c>
      <c r="H220" s="14" t="n">
        <v>0.338441999403172</v>
      </c>
      <c r="I220" s="14" t="n">
        <v>0.335154284275507</v>
      </c>
      <c r="J220" s="14" t="n">
        <v>0.326403716321322</v>
      </c>
      <c r="K220" s="12" t="s">
        <v>65</v>
      </c>
      <c r="L220" s="15" t="n">
        <v>953</v>
      </c>
      <c r="M220" s="15" t="n">
        <v>4</v>
      </c>
    </row>
    <row r="221" customFormat="false" ht="15" hidden="false" customHeight="false" outlineLevel="0" collapsed="false">
      <c r="A221" s="12" t="s">
        <v>28</v>
      </c>
      <c r="B221" s="7" t="s">
        <v>29</v>
      </c>
      <c r="C221" s="12" t="s">
        <v>82</v>
      </c>
      <c r="D221" s="7" t="s">
        <v>32</v>
      </c>
      <c r="E221" s="7" t="s">
        <v>32</v>
      </c>
      <c r="F221" s="12" t="n">
        <f aca="false">IF(D221=E221,1,0)</f>
        <v>1</v>
      </c>
      <c r="G221" s="13" t="n">
        <v>-0.0257936507936508</v>
      </c>
      <c r="H221" s="14" t="n">
        <v>0.347792065925898</v>
      </c>
      <c r="I221" s="14" t="n">
        <v>0.335052021161153</v>
      </c>
      <c r="J221" s="14" t="n">
        <v>0.31715591291295</v>
      </c>
      <c r="K221" s="12" t="s">
        <v>65</v>
      </c>
      <c r="L221" s="15" t="n">
        <v>953</v>
      </c>
      <c r="M221" s="15" t="n">
        <v>4</v>
      </c>
    </row>
    <row r="222" customFormat="false" ht="15" hidden="false" customHeight="false" outlineLevel="0" collapsed="false">
      <c r="A222" s="12" t="s">
        <v>34</v>
      </c>
      <c r="B222" s="7" t="s">
        <v>35</v>
      </c>
      <c r="C222" s="12" t="s">
        <v>82</v>
      </c>
      <c r="D222" s="7" t="s">
        <v>32</v>
      </c>
      <c r="E222" s="7" t="s">
        <v>31</v>
      </c>
      <c r="F222" s="12" t="n">
        <f aca="false">IF(D222=E222,1,0)</f>
        <v>0</v>
      </c>
      <c r="G222" s="13" t="n">
        <v>0.170454545454545</v>
      </c>
      <c r="H222" s="14" t="n">
        <v>0.35363066276289</v>
      </c>
      <c r="I222" s="14" t="n">
        <v>0.30068742718134</v>
      </c>
      <c r="J222" s="14" t="n">
        <v>0.34568191005577</v>
      </c>
      <c r="K222" s="12" t="s">
        <v>65</v>
      </c>
      <c r="L222" s="15" t="n">
        <v>953</v>
      </c>
      <c r="M222" s="15" t="n">
        <v>4</v>
      </c>
    </row>
    <row r="223" customFormat="false" ht="15" hidden="false" customHeight="false" outlineLevel="0" collapsed="false">
      <c r="A223" s="12" t="s">
        <v>36</v>
      </c>
      <c r="B223" s="7" t="s">
        <v>37</v>
      </c>
      <c r="C223" s="12" t="s">
        <v>82</v>
      </c>
      <c r="D223" s="7" t="s">
        <v>32</v>
      </c>
      <c r="E223" s="7" t="s">
        <v>31</v>
      </c>
      <c r="F223" s="12" t="n">
        <f aca="false">IF(D223=E223,1,0)</f>
        <v>0</v>
      </c>
      <c r="G223" s="13" t="n">
        <v>0.0543478260869565</v>
      </c>
      <c r="H223" s="14" t="n">
        <v>0.36398331765454</v>
      </c>
      <c r="I223" s="14" t="n">
        <v>0.31313951329326</v>
      </c>
      <c r="J223" s="14" t="n">
        <v>0.3228771690522</v>
      </c>
      <c r="K223" s="12" t="s">
        <v>65</v>
      </c>
      <c r="L223" s="15" t="n">
        <v>953</v>
      </c>
      <c r="M223" s="15" t="n">
        <v>4</v>
      </c>
    </row>
    <row r="224" customFormat="false" ht="15" hidden="false" customHeight="false" outlineLevel="0" collapsed="false">
      <c r="A224" s="12" t="s">
        <v>38</v>
      </c>
      <c r="B224" s="7" t="s">
        <v>39</v>
      </c>
      <c r="C224" s="12" t="s">
        <v>82</v>
      </c>
      <c r="D224" s="7" t="s">
        <v>32</v>
      </c>
      <c r="E224" s="7" t="s">
        <v>32</v>
      </c>
      <c r="F224" s="12" t="n">
        <f aca="false">IF(D224=E224,1,0)</f>
        <v>1</v>
      </c>
      <c r="G224" s="13" t="n">
        <v>-0.0204741379310344</v>
      </c>
      <c r="H224" s="14" t="n">
        <v>0.362608760956845</v>
      </c>
      <c r="I224" s="14" t="n">
        <v>0.327440394013294</v>
      </c>
      <c r="J224" s="14" t="n">
        <v>0.309950845029861</v>
      </c>
      <c r="K224" s="12" t="s">
        <v>65</v>
      </c>
      <c r="L224" s="15" t="n">
        <v>953</v>
      </c>
      <c r="M224" s="15" t="n">
        <v>4</v>
      </c>
    </row>
    <row r="225" customFormat="false" ht="15" hidden="false" customHeight="false" outlineLevel="0" collapsed="false">
      <c r="A225" s="12" t="s">
        <v>41</v>
      </c>
      <c r="B225" s="7" t="s">
        <v>42</v>
      </c>
      <c r="C225" s="12" t="s">
        <v>82</v>
      </c>
      <c r="D225" s="7" t="s">
        <v>32</v>
      </c>
      <c r="E225" s="7" t="s">
        <v>31</v>
      </c>
      <c r="F225" s="12" t="n">
        <f aca="false">IF(D225=E225,1,0)</f>
        <v>0</v>
      </c>
      <c r="G225" s="13" t="n">
        <v>0.120567375886525</v>
      </c>
      <c r="H225" s="14" t="n">
        <v>0.357897024962608</v>
      </c>
      <c r="I225" s="14" t="n">
        <v>0.306367867249023</v>
      </c>
      <c r="J225" s="14" t="n">
        <v>0.335735107788369</v>
      </c>
      <c r="K225" s="12" t="s">
        <v>65</v>
      </c>
      <c r="L225" s="15" t="n">
        <v>953</v>
      </c>
      <c r="M225" s="15" t="n">
        <v>4</v>
      </c>
    </row>
    <row r="226" customFormat="false" ht="15" hidden="false" customHeight="false" outlineLevel="0" collapsed="false">
      <c r="A226" s="12" t="s">
        <v>43</v>
      </c>
      <c r="B226" s="7" t="s">
        <v>44</v>
      </c>
      <c r="C226" s="12" t="s">
        <v>82</v>
      </c>
      <c r="D226" s="7" t="s">
        <v>32</v>
      </c>
      <c r="E226" s="7" t="s">
        <v>31</v>
      </c>
      <c r="F226" s="12" t="n">
        <f aca="false">IF(D226=E226,1,0)</f>
        <v>0</v>
      </c>
      <c r="G226" s="13" t="n">
        <v>0.0749414519906321</v>
      </c>
      <c r="H226" s="14" t="n">
        <v>0.341502351751952</v>
      </c>
      <c r="I226" s="14" t="n">
        <v>0.338184907551858</v>
      </c>
      <c r="J226" s="14" t="n">
        <v>0.320312740696191</v>
      </c>
      <c r="K226" s="12" t="s">
        <v>65</v>
      </c>
      <c r="L226" s="15" t="n">
        <v>953</v>
      </c>
      <c r="M226" s="15" t="n">
        <v>4</v>
      </c>
    </row>
    <row r="227" customFormat="false" ht="15" hidden="false" customHeight="false" outlineLevel="0" collapsed="false">
      <c r="A227" s="12" t="s">
        <v>28</v>
      </c>
      <c r="B227" s="7" t="s">
        <v>29</v>
      </c>
      <c r="C227" s="12" t="s">
        <v>83</v>
      </c>
      <c r="D227" s="7" t="s">
        <v>32</v>
      </c>
      <c r="E227" s="7" t="s">
        <v>31</v>
      </c>
      <c r="F227" s="12" t="n">
        <f aca="false">IF(D227=E227,1,0)</f>
        <v>0</v>
      </c>
      <c r="G227" s="13" t="n">
        <v>0.0146443514644352</v>
      </c>
      <c r="H227" s="14" t="n">
        <v>0.363494956919455</v>
      </c>
      <c r="I227" s="14" t="n">
        <v>0.301543575160582</v>
      </c>
      <c r="J227" s="14" t="n">
        <v>0.334961467919964</v>
      </c>
      <c r="K227" s="12" t="s">
        <v>65</v>
      </c>
      <c r="L227" s="15" t="n">
        <v>953</v>
      </c>
      <c r="M227" s="15" t="n">
        <v>4</v>
      </c>
    </row>
    <row r="228" customFormat="false" ht="15" hidden="false" customHeight="false" outlineLevel="0" collapsed="false">
      <c r="A228" s="12" t="s">
        <v>34</v>
      </c>
      <c r="B228" s="7" t="s">
        <v>35</v>
      </c>
      <c r="C228" s="12" t="s">
        <v>83</v>
      </c>
      <c r="D228" s="7" t="s">
        <v>32</v>
      </c>
      <c r="E228" s="7" t="s">
        <v>31</v>
      </c>
      <c r="F228" s="12" t="n">
        <f aca="false">IF(D228=E228,1,0)</f>
        <v>0</v>
      </c>
      <c r="G228" s="13" t="n">
        <v>0.114068441064639</v>
      </c>
      <c r="H228" s="14" t="n">
        <v>0.375464002375012</v>
      </c>
      <c r="I228" s="14" t="n">
        <v>0.299951885495257</v>
      </c>
      <c r="J228" s="14" t="n">
        <v>0.324584112129731</v>
      </c>
      <c r="K228" s="12" t="s">
        <v>65</v>
      </c>
      <c r="L228" s="15" t="n">
        <v>953</v>
      </c>
      <c r="M228" s="15" t="n">
        <v>4</v>
      </c>
    </row>
    <row r="229" customFormat="false" ht="15" hidden="false" customHeight="false" outlineLevel="0" collapsed="false">
      <c r="A229" s="12" t="s">
        <v>36</v>
      </c>
      <c r="B229" s="7" t="s">
        <v>37</v>
      </c>
      <c r="C229" s="12" t="s">
        <v>83</v>
      </c>
      <c r="D229" s="7" t="s">
        <v>32</v>
      </c>
      <c r="E229" s="7" t="s">
        <v>31</v>
      </c>
      <c r="F229" s="12" t="n">
        <f aca="false">IF(D229=E229,1,0)</f>
        <v>0</v>
      </c>
      <c r="G229" s="13" t="n">
        <v>0.0392156862745098</v>
      </c>
      <c r="H229" s="14" t="n">
        <v>0.3666179497994</v>
      </c>
      <c r="I229" s="14" t="n">
        <v>0.308167788959925</v>
      </c>
      <c r="J229" s="14" t="n">
        <v>0.325214261240676</v>
      </c>
      <c r="K229" s="12" t="s">
        <v>65</v>
      </c>
      <c r="L229" s="15" t="n">
        <v>953</v>
      </c>
      <c r="M229" s="15" t="n">
        <v>4</v>
      </c>
    </row>
    <row r="230" customFormat="false" ht="15" hidden="false" customHeight="false" outlineLevel="0" collapsed="false">
      <c r="A230" s="12" t="s">
        <v>38</v>
      </c>
      <c r="B230" s="7" t="s">
        <v>39</v>
      </c>
      <c r="C230" s="12" t="s">
        <v>83</v>
      </c>
      <c r="D230" s="7" t="s">
        <v>32</v>
      </c>
      <c r="E230" s="7" t="s">
        <v>40</v>
      </c>
      <c r="F230" s="12" t="n">
        <f aca="false">IF(D230=E230,1,0)</f>
        <v>0</v>
      </c>
      <c r="G230" s="13" t="n">
        <v>0.0045351473922903</v>
      </c>
      <c r="H230" s="14" t="n">
        <v>0.361864301950839</v>
      </c>
      <c r="I230" s="14" t="n">
        <v>0.324512154784219</v>
      </c>
      <c r="J230" s="14" t="n">
        <v>0.313623543264942</v>
      </c>
      <c r="K230" s="12" t="s">
        <v>65</v>
      </c>
      <c r="L230" s="15" t="n">
        <v>953</v>
      </c>
      <c r="M230" s="15" t="n">
        <v>4</v>
      </c>
    </row>
    <row r="231" customFormat="false" ht="15" hidden="false" customHeight="false" outlineLevel="0" collapsed="false">
      <c r="A231" s="12" t="s">
        <v>41</v>
      </c>
      <c r="B231" s="7" t="s">
        <v>42</v>
      </c>
      <c r="C231" s="12" t="s">
        <v>83</v>
      </c>
      <c r="D231" s="7" t="s">
        <v>32</v>
      </c>
      <c r="E231" s="7" t="s">
        <v>31</v>
      </c>
      <c r="F231" s="12" t="n">
        <f aca="false">IF(D231=E231,1,0)</f>
        <v>0</v>
      </c>
      <c r="G231" s="13" t="n">
        <v>0.118483412322275</v>
      </c>
      <c r="H231" s="14" t="n">
        <v>0.363885887850656</v>
      </c>
      <c r="I231" s="14" t="n">
        <v>0.311689603485382</v>
      </c>
      <c r="J231" s="14" t="n">
        <v>0.324424508663962</v>
      </c>
      <c r="K231" s="12" t="s">
        <v>65</v>
      </c>
      <c r="L231" s="15" t="n">
        <v>953</v>
      </c>
      <c r="M231" s="15" t="n">
        <v>4</v>
      </c>
    </row>
    <row r="232" customFormat="false" ht="15" hidden="false" customHeight="false" outlineLevel="0" collapsed="false">
      <c r="A232" s="12" t="s">
        <v>43</v>
      </c>
      <c r="B232" s="7" t="s">
        <v>44</v>
      </c>
      <c r="C232" s="12" t="s">
        <v>83</v>
      </c>
      <c r="D232" s="7" t="s">
        <v>32</v>
      </c>
      <c r="E232" s="7" t="s">
        <v>31</v>
      </c>
      <c r="F232" s="12" t="n">
        <f aca="false">IF(D232=E232,1,0)</f>
        <v>0</v>
      </c>
      <c r="G232" s="13" t="n">
        <v>0.113207547169812</v>
      </c>
      <c r="H232" s="14" t="n">
        <v>0.356859157717997</v>
      </c>
      <c r="I232" s="14" t="n">
        <v>0.326475843689656</v>
      </c>
      <c r="J232" s="14" t="n">
        <v>0.316664998592347</v>
      </c>
      <c r="K232" s="12" t="s">
        <v>65</v>
      </c>
      <c r="L232" s="15" t="n">
        <v>953</v>
      </c>
      <c r="M232" s="15" t="n">
        <v>4</v>
      </c>
    </row>
    <row r="233" customFormat="false" ht="15" hidden="false" customHeight="false" outlineLevel="0" collapsed="false">
      <c r="A233" s="12" t="s">
        <v>28</v>
      </c>
      <c r="B233" s="7" t="s">
        <v>29</v>
      </c>
      <c r="C233" s="12" t="s">
        <v>84</v>
      </c>
      <c r="D233" s="7" t="s">
        <v>32</v>
      </c>
      <c r="E233" s="7" t="s">
        <v>32</v>
      </c>
      <c r="F233" s="12" t="n">
        <f aca="false">IF(D233=E233,1,0)</f>
        <v>1</v>
      </c>
      <c r="G233" s="13" t="n">
        <v>-0.0593047034764826</v>
      </c>
      <c r="H233" s="14" t="n">
        <v>0.355450668157789</v>
      </c>
      <c r="I233" s="14" t="n">
        <v>0.311977685599705</v>
      </c>
      <c r="J233" s="14" t="n">
        <v>0.332571646242506</v>
      </c>
      <c r="K233" s="12" t="s">
        <v>65</v>
      </c>
      <c r="L233" s="15" t="n">
        <v>953</v>
      </c>
      <c r="M233" s="15" t="n">
        <v>4</v>
      </c>
    </row>
    <row r="234" customFormat="false" ht="15" hidden="false" customHeight="false" outlineLevel="0" collapsed="false">
      <c r="A234" s="12" t="s">
        <v>34</v>
      </c>
      <c r="B234" s="7" t="s">
        <v>35</v>
      </c>
      <c r="C234" s="12" t="s">
        <v>84</v>
      </c>
      <c r="D234" s="7" t="s">
        <v>32</v>
      </c>
      <c r="E234" s="7" t="s">
        <v>32</v>
      </c>
      <c r="F234" s="12" t="n">
        <f aca="false">IF(D234=E234,1,0)</f>
        <v>1</v>
      </c>
      <c r="G234" s="13" t="n">
        <v>-0.0155709342560553</v>
      </c>
      <c r="H234" s="14" t="n">
        <v>0.370408336037892</v>
      </c>
      <c r="I234" s="14" t="n">
        <v>0.304737807476077</v>
      </c>
      <c r="J234" s="14" t="n">
        <v>0.324853856486031</v>
      </c>
      <c r="K234" s="12" t="s">
        <v>65</v>
      </c>
      <c r="L234" s="15" t="n">
        <v>953</v>
      </c>
      <c r="M234" s="15" t="n">
        <v>4</v>
      </c>
    </row>
    <row r="235" customFormat="false" ht="15" hidden="false" customHeight="false" outlineLevel="0" collapsed="false">
      <c r="A235" s="12" t="s">
        <v>36</v>
      </c>
      <c r="B235" s="7" t="s">
        <v>37</v>
      </c>
      <c r="C235" s="12" t="s">
        <v>84</v>
      </c>
      <c r="D235" s="7" t="s">
        <v>32</v>
      </c>
      <c r="E235" s="7" t="s">
        <v>40</v>
      </c>
      <c r="F235" s="12" t="n">
        <f aca="false">IF(D235=E235,1,0)</f>
        <v>0</v>
      </c>
      <c r="G235" s="13" t="n">
        <v>0.0042462845010615</v>
      </c>
      <c r="H235" s="14" t="n">
        <v>0.36440440124604</v>
      </c>
      <c r="I235" s="14" t="n">
        <v>0.312932194971968</v>
      </c>
      <c r="J235" s="14" t="n">
        <v>0.322663403781993</v>
      </c>
      <c r="K235" s="12" t="s">
        <v>65</v>
      </c>
      <c r="L235" s="15" t="n">
        <v>953</v>
      </c>
      <c r="M235" s="15" t="n">
        <v>4</v>
      </c>
    </row>
    <row r="236" customFormat="false" ht="15" hidden="false" customHeight="false" outlineLevel="0" collapsed="false">
      <c r="A236" s="12" t="s">
        <v>38</v>
      </c>
      <c r="B236" s="7" t="s">
        <v>39</v>
      </c>
      <c r="C236" s="12" t="s">
        <v>84</v>
      </c>
      <c r="D236" s="7" t="s">
        <v>31</v>
      </c>
      <c r="E236" s="7" t="s">
        <v>40</v>
      </c>
      <c r="F236" s="12" t="n">
        <f aca="false">IF(D236=E236,1,0)</f>
        <v>0</v>
      </c>
      <c r="G236" s="13" t="n">
        <v>-0.0023201856148491</v>
      </c>
      <c r="H236" s="14" t="n">
        <v>0.345254003465891</v>
      </c>
      <c r="I236" s="14" t="n">
        <v>0.309201281947946</v>
      </c>
      <c r="J236" s="14" t="n">
        <v>0.345544714586163</v>
      </c>
      <c r="K236" s="12" t="s">
        <v>65</v>
      </c>
      <c r="L236" s="15" t="n">
        <v>953</v>
      </c>
      <c r="M236" s="15" t="n">
        <v>4</v>
      </c>
    </row>
    <row r="237" customFormat="false" ht="15" hidden="false" customHeight="false" outlineLevel="0" collapsed="false">
      <c r="A237" s="12" t="s">
        <v>41</v>
      </c>
      <c r="B237" s="7" t="s">
        <v>42</v>
      </c>
      <c r="C237" s="12" t="s">
        <v>84</v>
      </c>
      <c r="D237" s="7" t="s">
        <v>32</v>
      </c>
      <c r="E237" s="7" t="s">
        <v>31</v>
      </c>
      <c r="F237" s="12" t="n">
        <f aca="false">IF(D237=E237,1,0)</f>
        <v>0</v>
      </c>
      <c r="G237" s="13" t="n">
        <v>0.0892018779342722</v>
      </c>
      <c r="H237" s="14" t="n">
        <v>0.35490838067938</v>
      </c>
      <c r="I237" s="14" t="n">
        <v>0.308524613436701</v>
      </c>
      <c r="J237" s="14" t="n">
        <v>0.336567005883919</v>
      </c>
      <c r="K237" s="12" t="s">
        <v>65</v>
      </c>
      <c r="L237" s="15" t="n">
        <v>953</v>
      </c>
      <c r="M237" s="15" t="n">
        <v>4</v>
      </c>
    </row>
    <row r="238" customFormat="false" ht="15" hidden="false" customHeight="false" outlineLevel="0" collapsed="false">
      <c r="A238" s="12" t="s">
        <v>43</v>
      </c>
      <c r="B238" s="7" t="s">
        <v>44</v>
      </c>
      <c r="C238" s="12" t="s">
        <v>84</v>
      </c>
      <c r="D238" s="7" t="s">
        <v>32</v>
      </c>
      <c r="E238" s="7" t="s">
        <v>31</v>
      </c>
      <c r="F238" s="12" t="n">
        <f aca="false">IF(D238=E238,1,0)</f>
        <v>0</v>
      </c>
      <c r="G238" s="13" t="n">
        <v>0.166861143523921</v>
      </c>
      <c r="H238" s="14" t="n">
        <v>0.353697282319922</v>
      </c>
      <c r="I238" s="14" t="n">
        <v>0.323583173245582</v>
      </c>
      <c r="J238" s="14" t="n">
        <v>0.322719544434496</v>
      </c>
      <c r="K238" s="12" t="s">
        <v>65</v>
      </c>
      <c r="L238" s="15" t="n">
        <v>953</v>
      </c>
      <c r="M238" s="15" t="n">
        <v>4</v>
      </c>
    </row>
    <row r="239" customFormat="false" ht="15" hidden="false" customHeight="false" outlineLevel="0" collapsed="false">
      <c r="A239" s="12" t="s">
        <v>28</v>
      </c>
      <c r="B239" s="7" t="s">
        <v>29</v>
      </c>
      <c r="C239" s="12" t="s">
        <v>85</v>
      </c>
      <c r="D239" s="7" t="s">
        <v>31</v>
      </c>
      <c r="E239" s="7" t="s">
        <v>32</v>
      </c>
      <c r="F239" s="12" t="n">
        <f aca="false">IF(D239=E239,1,0)</f>
        <v>0</v>
      </c>
      <c r="G239" s="13" t="n">
        <v>-0.0681818181818182</v>
      </c>
      <c r="H239" s="14" t="n">
        <v>0.32634339297305</v>
      </c>
      <c r="I239" s="14" t="n">
        <v>0.32961598880357</v>
      </c>
      <c r="J239" s="14" t="n">
        <v>0.34404061822338</v>
      </c>
      <c r="K239" s="12" t="s">
        <v>86</v>
      </c>
      <c r="L239" s="15" t="n">
        <v>1071</v>
      </c>
      <c r="M239" s="15" t="n">
        <v>1</v>
      </c>
    </row>
    <row r="240" customFormat="false" ht="15" hidden="false" customHeight="false" outlineLevel="0" collapsed="false">
      <c r="A240" s="12" t="s">
        <v>34</v>
      </c>
      <c r="B240" s="7" t="s">
        <v>35</v>
      </c>
      <c r="C240" s="12" t="s">
        <v>85</v>
      </c>
      <c r="D240" s="7" t="s">
        <v>31</v>
      </c>
      <c r="E240" s="7" t="s">
        <v>32</v>
      </c>
      <c r="F240" s="12" t="n">
        <f aca="false">IF(D240=E240,1,0)</f>
        <v>0</v>
      </c>
      <c r="G240" s="13" t="n">
        <v>-0.0817717206132878</v>
      </c>
      <c r="H240" s="14" t="n">
        <v>0.328135477578469</v>
      </c>
      <c r="I240" s="14" t="n">
        <v>0.331426044566776</v>
      </c>
      <c r="J240" s="14" t="n">
        <v>0.340438477854755</v>
      </c>
      <c r="K240" s="12" t="s">
        <v>86</v>
      </c>
      <c r="L240" s="15" t="n">
        <v>1071</v>
      </c>
      <c r="M240" s="15" t="n">
        <v>1</v>
      </c>
    </row>
    <row r="241" customFormat="false" ht="15" hidden="false" customHeight="false" outlineLevel="0" collapsed="false">
      <c r="A241" s="12" t="s">
        <v>36</v>
      </c>
      <c r="B241" s="7" t="s">
        <v>37</v>
      </c>
      <c r="C241" s="12" t="s">
        <v>85</v>
      </c>
      <c r="D241" s="7" t="s">
        <v>31</v>
      </c>
      <c r="E241" s="7" t="s">
        <v>32</v>
      </c>
      <c r="F241" s="12" t="n">
        <f aca="false">IF(D241=E241,1,0)</f>
        <v>0</v>
      </c>
      <c r="G241" s="13" t="n">
        <v>-0.0254777070063694</v>
      </c>
      <c r="H241" s="14" t="n">
        <v>0.32552216375363</v>
      </c>
      <c r="I241" s="14" t="n">
        <v>0.336305221812549</v>
      </c>
      <c r="J241" s="14" t="n">
        <v>0.338172614433821</v>
      </c>
      <c r="K241" s="12" t="s">
        <v>86</v>
      </c>
      <c r="L241" s="15" t="n">
        <v>1071</v>
      </c>
      <c r="M241" s="15" t="n">
        <v>1</v>
      </c>
    </row>
    <row r="242" customFormat="false" ht="15" hidden="false" customHeight="false" outlineLevel="0" collapsed="false">
      <c r="A242" s="12" t="s">
        <v>38</v>
      </c>
      <c r="B242" s="7" t="s">
        <v>39</v>
      </c>
      <c r="C242" s="12" t="s">
        <v>85</v>
      </c>
      <c r="D242" s="7" t="s">
        <v>31</v>
      </c>
      <c r="E242" s="7" t="s">
        <v>32</v>
      </c>
      <c r="F242" s="12" t="n">
        <f aca="false">IF(D242=E242,1,0)</f>
        <v>0</v>
      </c>
      <c r="G242" s="13" t="n">
        <v>-0.106476399560922</v>
      </c>
      <c r="H242" s="14" t="n">
        <v>0.32634339297305</v>
      </c>
      <c r="I242" s="14" t="n">
        <v>0.32961598880357</v>
      </c>
      <c r="J242" s="14" t="n">
        <v>0.34404061822338</v>
      </c>
      <c r="K242" s="12" t="s">
        <v>86</v>
      </c>
      <c r="L242" s="15" t="n">
        <v>1071</v>
      </c>
      <c r="M242" s="15" t="n">
        <v>1</v>
      </c>
    </row>
    <row r="243" customFormat="false" ht="15" hidden="false" customHeight="false" outlineLevel="0" collapsed="false">
      <c r="A243" s="12" t="s">
        <v>41</v>
      </c>
      <c r="B243" s="7" t="s">
        <v>42</v>
      </c>
      <c r="C243" s="12" t="s">
        <v>85</v>
      </c>
      <c r="D243" s="7" t="s">
        <v>32</v>
      </c>
      <c r="E243" s="7" t="s">
        <v>40</v>
      </c>
      <c r="F243" s="12" t="n">
        <f aca="false">IF(D243=E243,1,0)</f>
        <v>0</v>
      </c>
      <c r="G243" s="13" t="n">
        <v>0</v>
      </c>
      <c r="H243" s="14" t="n">
        <v>0.346136037953435</v>
      </c>
      <c r="I243" s="14" t="n">
        <v>0.320063775187848</v>
      </c>
      <c r="J243" s="14" t="n">
        <v>0.333800186858717</v>
      </c>
      <c r="K243" s="12" t="s">
        <v>86</v>
      </c>
      <c r="L243" s="15" t="n">
        <v>1071</v>
      </c>
      <c r="M243" s="15" t="n">
        <v>1</v>
      </c>
    </row>
    <row r="244" customFormat="false" ht="15" hidden="false" customHeight="false" outlineLevel="0" collapsed="false">
      <c r="A244" s="12" t="s">
        <v>43</v>
      </c>
      <c r="B244" s="7" t="s">
        <v>44</v>
      </c>
      <c r="C244" s="12" t="s">
        <v>85</v>
      </c>
      <c r="D244" s="7" t="s">
        <v>31</v>
      </c>
      <c r="E244" s="7" t="s">
        <v>31</v>
      </c>
      <c r="F244" s="12" t="n">
        <f aca="false">IF(D244=E244,1,0)</f>
        <v>1</v>
      </c>
      <c r="G244" s="13" t="n">
        <v>0.0770975056689342</v>
      </c>
      <c r="H244" s="14" t="n">
        <v>0.32296006495936</v>
      </c>
      <c r="I244" s="14" t="n">
        <v>0.331408320598973</v>
      </c>
      <c r="J244" s="14" t="n">
        <v>0.345631614441668</v>
      </c>
      <c r="K244" s="12" t="s">
        <v>86</v>
      </c>
      <c r="L244" s="15" t="n">
        <v>1071</v>
      </c>
      <c r="M244" s="15" t="n">
        <v>1</v>
      </c>
    </row>
    <row r="245" customFormat="false" ht="15" hidden="false" customHeight="false" outlineLevel="0" collapsed="false">
      <c r="A245" s="12" t="s">
        <v>28</v>
      </c>
      <c r="B245" s="7" t="s">
        <v>29</v>
      </c>
      <c r="C245" s="12" t="s">
        <v>87</v>
      </c>
      <c r="D245" s="7" t="s">
        <v>31</v>
      </c>
      <c r="E245" s="7" t="s">
        <v>31</v>
      </c>
      <c r="F245" s="12" t="n">
        <f aca="false">IF(D245=E245,1,0)</f>
        <v>1</v>
      </c>
      <c r="G245" s="13" t="n">
        <v>0.0233050847457627</v>
      </c>
      <c r="H245" s="14" t="n">
        <v>0.32634339297305</v>
      </c>
      <c r="I245" s="14" t="n">
        <v>0.32961598880357</v>
      </c>
      <c r="J245" s="14" t="n">
        <v>0.34404061822338</v>
      </c>
      <c r="K245" s="12" t="s">
        <v>86</v>
      </c>
      <c r="L245" s="15" t="n">
        <v>1071</v>
      </c>
      <c r="M245" s="15" t="n">
        <v>1</v>
      </c>
    </row>
    <row r="246" customFormat="false" ht="15" hidden="false" customHeight="false" outlineLevel="0" collapsed="false">
      <c r="A246" s="12" t="s">
        <v>34</v>
      </c>
      <c r="B246" s="7" t="s">
        <v>35</v>
      </c>
      <c r="C246" s="12" t="s">
        <v>87</v>
      </c>
      <c r="D246" s="7" t="s">
        <v>40</v>
      </c>
      <c r="E246" s="7" t="s">
        <v>32</v>
      </c>
      <c r="F246" s="12" t="n">
        <f aca="false">IF(D246=E246,1,0)</f>
        <v>0</v>
      </c>
      <c r="G246" s="13" t="n">
        <v>-0.0796019900497512</v>
      </c>
      <c r="H246" s="14" t="n">
        <v>0.332187176319517</v>
      </c>
      <c r="I246" s="14" t="n">
        <v>0.335518374044317</v>
      </c>
      <c r="J246" s="14" t="n">
        <v>0.332294449636166</v>
      </c>
      <c r="K246" s="12" t="s">
        <v>86</v>
      </c>
      <c r="L246" s="15" t="n">
        <v>1071</v>
      </c>
      <c r="M246" s="15" t="n">
        <v>1</v>
      </c>
    </row>
    <row r="247" customFormat="false" ht="15" hidden="false" customHeight="false" outlineLevel="0" collapsed="false">
      <c r="A247" s="12" t="s">
        <v>36</v>
      </c>
      <c r="B247" s="7" t="s">
        <v>37</v>
      </c>
      <c r="C247" s="12" t="s">
        <v>87</v>
      </c>
      <c r="D247" s="7" t="s">
        <v>40</v>
      </c>
      <c r="E247" s="7" t="s">
        <v>32</v>
      </c>
      <c r="F247" s="12" t="n">
        <f aca="false">IF(D247=E247,1,0)</f>
        <v>0</v>
      </c>
      <c r="G247" s="13" t="n">
        <v>-0.0315126050420168</v>
      </c>
      <c r="H247" s="14" t="n">
        <v>0.32107832935771</v>
      </c>
      <c r="I247" s="14" t="n">
        <v>0.34761482988712</v>
      </c>
      <c r="J247" s="14" t="n">
        <v>0.331306840755171</v>
      </c>
      <c r="K247" s="12" t="s">
        <v>86</v>
      </c>
      <c r="L247" s="15" t="n">
        <v>1071</v>
      </c>
      <c r="M247" s="15" t="n">
        <v>1</v>
      </c>
    </row>
    <row r="248" customFormat="false" ht="15" hidden="false" customHeight="false" outlineLevel="0" collapsed="false">
      <c r="A248" s="12" t="s">
        <v>38</v>
      </c>
      <c r="B248" s="7" t="s">
        <v>39</v>
      </c>
      <c r="C248" s="12" t="s">
        <v>87</v>
      </c>
      <c r="D248" s="7" t="s">
        <v>31</v>
      </c>
      <c r="E248" s="7" t="s">
        <v>40</v>
      </c>
      <c r="F248" s="12" t="n">
        <f aca="false">IF(D248=E248,1,0)</f>
        <v>0</v>
      </c>
      <c r="G248" s="13" t="n">
        <v>-0.011049723756906</v>
      </c>
      <c r="H248" s="14" t="n">
        <v>0.32634339297305</v>
      </c>
      <c r="I248" s="14" t="n">
        <v>0.32961598880357</v>
      </c>
      <c r="J248" s="14" t="n">
        <v>0.34404061822338</v>
      </c>
      <c r="K248" s="12" t="s">
        <v>86</v>
      </c>
      <c r="L248" s="15" t="n">
        <v>1071</v>
      </c>
      <c r="M248" s="15" t="n">
        <v>1</v>
      </c>
    </row>
    <row r="249" customFormat="false" ht="15" hidden="false" customHeight="false" outlineLevel="0" collapsed="false">
      <c r="A249" s="12" t="s">
        <v>41</v>
      </c>
      <c r="B249" s="7" t="s">
        <v>42</v>
      </c>
      <c r="C249" s="12" t="s">
        <v>87</v>
      </c>
      <c r="D249" s="7" t="s">
        <v>32</v>
      </c>
      <c r="E249" s="7" t="s">
        <v>32</v>
      </c>
      <c r="F249" s="12" t="n">
        <f aca="false">IF(D249=E249,1,0)</f>
        <v>1</v>
      </c>
      <c r="G249" s="13" t="n">
        <v>-0.0389610389610389</v>
      </c>
      <c r="H249" s="14" t="n">
        <v>0.344448339612935</v>
      </c>
      <c r="I249" s="14" t="n">
        <v>0.32337902443218</v>
      </c>
      <c r="J249" s="14" t="n">
        <v>0.332172635954885</v>
      </c>
      <c r="K249" s="12" t="s">
        <v>86</v>
      </c>
      <c r="L249" s="15" t="n">
        <v>1071</v>
      </c>
      <c r="M249" s="15" t="n">
        <v>1</v>
      </c>
    </row>
    <row r="250" customFormat="false" ht="15" hidden="false" customHeight="false" outlineLevel="0" collapsed="false">
      <c r="A250" s="12" t="s">
        <v>43</v>
      </c>
      <c r="B250" s="7" t="s">
        <v>44</v>
      </c>
      <c r="C250" s="12" t="s">
        <v>87</v>
      </c>
      <c r="D250" s="7" t="s">
        <v>31</v>
      </c>
      <c r="E250" s="7" t="s">
        <v>31</v>
      </c>
      <c r="F250" s="12" t="n">
        <f aca="false">IF(D250=E250,1,0)</f>
        <v>1</v>
      </c>
      <c r="G250" s="13" t="n">
        <v>0.165919282511211</v>
      </c>
      <c r="H250" s="14" t="n">
        <v>0.327009453137802</v>
      </c>
      <c r="I250" s="14" t="n">
        <v>0.335563636011854</v>
      </c>
      <c r="J250" s="14" t="n">
        <v>0.337426910850344</v>
      </c>
      <c r="K250" s="12" t="s">
        <v>86</v>
      </c>
      <c r="L250" s="15" t="n">
        <v>1071</v>
      </c>
      <c r="M250" s="15" t="n">
        <v>1</v>
      </c>
    </row>
    <row r="251" customFormat="false" ht="15" hidden="false" customHeight="false" outlineLevel="0" collapsed="false">
      <c r="A251" s="12" t="s">
        <v>28</v>
      </c>
      <c r="B251" s="7" t="s">
        <v>29</v>
      </c>
      <c r="C251" s="12" t="s">
        <v>88</v>
      </c>
      <c r="D251" s="7" t="s">
        <v>31</v>
      </c>
      <c r="E251" s="7" t="s">
        <v>32</v>
      </c>
      <c r="F251" s="12" t="n">
        <f aca="false">IF(D251=E251,1,0)</f>
        <v>0</v>
      </c>
      <c r="G251" s="13" t="n">
        <v>-0.103869653767821</v>
      </c>
      <c r="H251" s="14" t="n">
        <v>0.32634339297305</v>
      </c>
      <c r="I251" s="14" t="n">
        <v>0.32961598880357</v>
      </c>
      <c r="J251" s="14" t="n">
        <v>0.34404061822338</v>
      </c>
      <c r="K251" s="12" t="s">
        <v>86</v>
      </c>
      <c r="L251" s="15" t="n">
        <v>1071</v>
      </c>
      <c r="M251" s="15" t="n">
        <v>1</v>
      </c>
    </row>
    <row r="252" customFormat="false" ht="15" hidden="false" customHeight="false" outlineLevel="0" collapsed="false">
      <c r="A252" s="12" t="s">
        <v>34</v>
      </c>
      <c r="B252" s="7" t="s">
        <v>35</v>
      </c>
      <c r="C252" s="12" t="s">
        <v>88</v>
      </c>
      <c r="D252" s="7" t="s">
        <v>31</v>
      </c>
      <c r="E252" s="7" t="s">
        <v>32</v>
      </c>
      <c r="F252" s="12" t="n">
        <f aca="false">IF(D252=E252,1,0)</f>
        <v>0</v>
      </c>
      <c r="G252" s="13" t="n">
        <v>-0.148867313915858</v>
      </c>
      <c r="H252" s="14" t="n">
        <v>0.328135477578469</v>
      </c>
      <c r="I252" s="14" t="n">
        <v>0.331426044566776</v>
      </c>
      <c r="J252" s="14" t="n">
        <v>0.340438477854755</v>
      </c>
      <c r="K252" s="12" t="s">
        <v>86</v>
      </c>
      <c r="L252" s="15" t="n">
        <v>1071</v>
      </c>
      <c r="M252" s="15" t="n">
        <v>1</v>
      </c>
    </row>
    <row r="253" customFormat="false" ht="15" hidden="false" customHeight="false" outlineLevel="0" collapsed="false">
      <c r="A253" s="12" t="s">
        <v>36</v>
      </c>
      <c r="B253" s="7" t="s">
        <v>37</v>
      </c>
      <c r="C253" s="12" t="s">
        <v>88</v>
      </c>
      <c r="D253" s="7" t="s">
        <v>31</v>
      </c>
      <c r="E253" s="7" t="s">
        <v>32</v>
      </c>
      <c r="F253" s="12" t="n">
        <f aca="false">IF(D253=E253,1,0)</f>
        <v>0</v>
      </c>
      <c r="G253" s="13" t="n">
        <v>-0.0701030927835051</v>
      </c>
      <c r="H253" s="14" t="n">
        <v>0.327186160076379</v>
      </c>
      <c r="I253" s="14" t="n">
        <v>0.332318982054647</v>
      </c>
      <c r="J253" s="14" t="n">
        <v>0.340494857868974</v>
      </c>
      <c r="K253" s="12" t="s">
        <v>86</v>
      </c>
      <c r="L253" s="15" t="n">
        <v>1071</v>
      </c>
      <c r="M253" s="15" t="n">
        <v>1</v>
      </c>
    </row>
    <row r="254" customFormat="false" ht="15" hidden="false" customHeight="false" outlineLevel="0" collapsed="false">
      <c r="A254" s="12" t="s">
        <v>38</v>
      </c>
      <c r="B254" s="7" t="s">
        <v>39</v>
      </c>
      <c r="C254" s="12" t="s">
        <v>88</v>
      </c>
      <c r="D254" s="7" t="s">
        <v>31</v>
      </c>
      <c r="E254" s="7" t="s">
        <v>32</v>
      </c>
      <c r="F254" s="12" t="n">
        <f aca="false">IF(D254=E254,1,0)</f>
        <v>0</v>
      </c>
      <c r="G254" s="13" t="n">
        <v>-0.0858085808580858</v>
      </c>
      <c r="H254" s="14" t="n">
        <v>0.32634339297305</v>
      </c>
      <c r="I254" s="14" t="n">
        <v>0.32961598880357</v>
      </c>
      <c r="J254" s="14" t="n">
        <v>0.34404061822338</v>
      </c>
      <c r="K254" s="12" t="s">
        <v>86</v>
      </c>
      <c r="L254" s="15" t="n">
        <v>1071</v>
      </c>
      <c r="M254" s="15" t="n">
        <v>1</v>
      </c>
    </row>
    <row r="255" customFormat="false" ht="15" hidden="false" customHeight="false" outlineLevel="0" collapsed="false">
      <c r="A255" s="12" t="s">
        <v>41</v>
      </c>
      <c r="B255" s="7" t="s">
        <v>42</v>
      </c>
      <c r="C255" s="12" t="s">
        <v>88</v>
      </c>
      <c r="D255" s="7" t="s">
        <v>32</v>
      </c>
      <c r="E255" s="7" t="s">
        <v>32</v>
      </c>
      <c r="F255" s="12" t="n">
        <f aca="false">IF(D255=E255,1,0)</f>
        <v>1</v>
      </c>
      <c r="G255" s="13" t="n">
        <v>-0.0590717299578058</v>
      </c>
      <c r="H255" s="14" t="n">
        <v>0.344448339612935</v>
      </c>
      <c r="I255" s="14" t="n">
        <v>0.32337902443218</v>
      </c>
      <c r="J255" s="14" t="n">
        <v>0.332172635954885</v>
      </c>
      <c r="K255" s="12" t="s">
        <v>86</v>
      </c>
      <c r="L255" s="15" t="n">
        <v>1071</v>
      </c>
      <c r="M255" s="15" t="n">
        <v>1</v>
      </c>
    </row>
    <row r="256" customFormat="false" ht="15" hidden="false" customHeight="false" outlineLevel="0" collapsed="false">
      <c r="A256" s="12" t="s">
        <v>43</v>
      </c>
      <c r="B256" s="7" t="s">
        <v>44</v>
      </c>
      <c r="C256" s="12" t="s">
        <v>88</v>
      </c>
      <c r="D256" s="7" t="s">
        <v>31</v>
      </c>
      <c r="E256" s="7" t="s">
        <v>31</v>
      </c>
      <c r="F256" s="12" t="n">
        <f aca="false">IF(D256=E256,1,0)</f>
        <v>1</v>
      </c>
      <c r="G256" s="13" t="n">
        <v>0.0882352941176471</v>
      </c>
      <c r="H256" s="14" t="n">
        <v>0.327009453137802</v>
      </c>
      <c r="I256" s="14" t="n">
        <v>0.335563636011854</v>
      </c>
      <c r="J256" s="14" t="n">
        <v>0.337426910850344</v>
      </c>
      <c r="K256" s="12" t="s">
        <v>86</v>
      </c>
      <c r="L256" s="15" t="n">
        <v>1071</v>
      </c>
      <c r="M256" s="15" t="n">
        <v>1</v>
      </c>
    </row>
    <row r="257" customFormat="false" ht="15" hidden="false" customHeight="false" outlineLevel="0" collapsed="false">
      <c r="A257" s="12" t="s">
        <v>28</v>
      </c>
      <c r="B257" s="7" t="s">
        <v>29</v>
      </c>
      <c r="C257" s="12" t="s">
        <v>89</v>
      </c>
      <c r="D257" s="7" t="s">
        <v>31</v>
      </c>
      <c r="E257" s="7" t="s">
        <v>32</v>
      </c>
      <c r="F257" s="12" t="n">
        <f aca="false">IF(D257=E257,1,0)</f>
        <v>0</v>
      </c>
      <c r="G257" s="13" t="n">
        <v>-0.109278350515464</v>
      </c>
      <c r="H257" s="14" t="n">
        <v>0.333706068682258</v>
      </c>
      <c r="I257" s="14" t="n">
        <v>0.326013477362554</v>
      </c>
      <c r="J257" s="14" t="n">
        <v>0.340280453955188</v>
      </c>
      <c r="K257" s="12" t="s">
        <v>86</v>
      </c>
      <c r="L257" s="15" t="n">
        <v>1071</v>
      </c>
      <c r="M257" s="15" t="n">
        <v>1</v>
      </c>
    </row>
    <row r="258" customFormat="false" ht="15" hidden="false" customHeight="false" outlineLevel="0" collapsed="false">
      <c r="A258" s="12" t="s">
        <v>34</v>
      </c>
      <c r="B258" s="7" t="s">
        <v>35</v>
      </c>
      <c r="C258" s="12" t="s">
        <v>89</v>
      </c>
      <c r="D258" s="7" t="s">
        <v>31</v>
      </c>
      <c r="E258" s="7" t="s">
        <v>32</v>
      </c>
      <c r="F258" s="12" t="n">
        <f aca="false">IF(D258=E258,1,0)</f>
        <v>0</v>
      </c>
      <c r="G258" s="13" t="n">
        <v>-0.117747440273038</v>
      </c>
      <c r="H258" s="14" t="n">
        <v>0.328135477578469</v>
      </c>
      <c r="I258" s="14" t="n">
        <v>0.331426044566776</v>
      </c>
      <c r="J258" s="14" t="n">
        <v>0.340438477854755</v>
      </c>
      <c r="K258" s="12" t="s">
        <v>86</v>
      </c>
      <c r="L258" s="15" t="n">
        <v>1071</v>
      </c>
      <c r="M258" s="15" t="n">
        <v>1</v>
      </c>
    </row>
    <row r="259" customFormat="false" ht="15" hidden="false" customHeight="false" outlineLevel="0" collapsed="false">
      <c r="A259" s="12" t="s">
        <v>36</v>
      </c>
      <c r="B259" s="7" t="s">
        <v>37</v>
      </c>
      <c r="C259" s="12" t="s">
        <v>89</v>
      </c>
      <c r="D259" s="7" t="s">
        <v>31</v>
      </c>
      <c r="E259" s="7" t="s">
        <v>32</v>
      </c>
      <c r="F259" s="12" t="n">
        <f aca="false">IF(D259=E259,1,0)</f>
        <v>0</v>
      </c>
      <c r="G259" s="13" t="n">
        <v>-0.0566037735849056</v>
      </c>
      <c r="H259" s="14" t="n">
        <v>0.331744727169963</v>
      </c>
      <c r="I259" s="14" t="n">
        <v>0.3227579004013</v>
      </c>
      <c r="J259" s="14" t="n">
        <v>0.345497372428737</v>
      </c>
      <c r="K259" s="12" t="s">
        <v>86</v>
      </c>
      <c r="L259" s="15" t="n">
        <v>1071</v>
      </c>
      <c r="M259" s="15" t="n">
        <v>1</v>
      </c>
    </row>
    <row r="260" customFormat="false" ht="15" hidden="false" customHeight="false" outlineLevel="0" collapsed="false">
      <c r="A260" s="12" t="s">
        <v>38</v>
      </c>
      <c r="B260" s="7" t="s">
        <v>39</v>
      </c>
      <c r="C260" s="12" t="s">
        <v>89</v>
      </c>
      <c r="D260" s="7" t="s">
        <v>31</v>
      </c>
      <c r="E260" s="7" t="s">
        <v>32</v>
      </c>
      <c r="F260" s="12" t="n">
        <f aca="false">IF(D260=E260,1,0)</f>
        <v>0</v>
      </c>
      <c r="G260" s="13" t="n">
        <v>-0.0778781038374717</v>
      </c>
      <c r="H260" s="14" t="n">
        <v>0.32634339297305</v>
      </c>
      <c r="I260" s="14" t="n">
        <v>0.32961598880357</v>
      </c>
      <c r="J260" s="14" t="n">
        <v>0.34404061822338</v>
      </c>
      <c r="K260" s="12" t="s">
        <v>86</v>
      </c>
      <c r="L260" s="15" t="n">
        <v>1071</v>
      </c>
      <c r="M260" s="15" t="n">
        <v>1</v>
      </c>
    </row>
    <row r="261" customFormat="false" ht="15" hidden="false" customHeight="false" outlineLevel="0" collapsed="false">
      <c r="A261" s="12" t="s">
        <v>41</v>
      </c>
      <c r="B261" s="7" t="s">
        <v>42</v>
      </c>
      <c r="C261" s="12" t="s">
        <v>89</v>
      </c>
      <c r="D261" s="7" t="s">
        <v>31</v>
      </c>
      <c r="E261" s="7" t="s">
        <v>32</v>
      </c>
      <c r="F261" s="12" t="n">
        <f aca="false">IF(D261=E261,1,0)</f>
        <v>0</v>
      </c>
      <c r="G261" s="13" t="n">
        <v>-0.0423728813559322</v>
      </c>
      <c r="H261" s="14" t="n">
        <v>0.33551844762934</v>
      </c>
      <c r="I261" s="14" t="n">
        <v>0.327784077355446</v>
      </c>
      <c r="J261" s="14" t="n">
        <v>0.336697475015214</v>
      </c>
      <c r="K261" s="12" t="s">
        <v>86</v>
      </c>
      <c r="L261" s="15" t="n">
        <v>1071</v>
      </c>
      <c r="M261" s="15" t="n">
        <v>1</v>
      </c>
    </row>
    <row r="262" customFormat="false" ht="15" hidden="false" customHeight="false" outlineLevel="0" collapsed="false">
      <c r="A262" s="12" t="s">
        <v>43</v>
      </c>
      <c r="B262" s="7" t="s">
        <v>44</v>
      </c>
      <c r="C262" s="12" t="s">
        <v>89</v>
      </c>
      <c r="D262" s="7" t="s">
        <v>31</v>
      </c>
      <c r="E262" s="7" t="s">
        <v>31</v>
      </c>
      <c r="F262" s="12" t="n">
        <f aca="false">IF(D262=E262,1,0)</f>
        <v>1</v>
      </c>
      <c r="G262" s="13" t="n">
        <v>0.0646186440677965</v>
      </c>
      <c r="H262" s="14" t="n">
        <v>0.32296006495936</v>
      </c>
      <c r="I262" s="14" t="n">
        <v>0.331408320598973</v>
      </c>
      <c r="J262" s="14" t="n">
        <v>0.345631614441668</v>
      </c>
      <c r="K262" s="12" t="s">
        <v>86</v>
      </c>
      <c r="L262" s="15" t="n">
        <v>1071</v>
      </c>
      <c r="M262" s="15" t="n">
        <v>1</v>
      </c>
    </row>
    <row r="263" customFormat="false" ht="15" hidden="false" customHeight="false" outlineLevel="0" collapsed="false">
      <c r="A263" s="12" t="s">
        <v>28</v>
      </c>
      <c r="B263" s="7" t="s">
        <v>29</v>
      </c>
      <c r="C263" s="12" t="s">
        <v>90</v>
      </c>
      <c r="D263" s="7" t="s">
        <v>31</v>
      </c>
      <c r="E263" s="7" t="s">
        <v>32</v>
      </c>
      <c r="F263" s="12" t="n">
        <f aca="false">IF(D263=E263,1,0)</f>
        <v>0</v>
      </c>
      <c r="G263" s="13" t="n">
        <v>-0.0369565217391304</v>
      </c>
      <c r="H263" s="14" t="n">
        <v>0.330989806187546</v>
      </c>
      <c r="I263" s="14" t="n">
        <v>0.320071192752903</v>
      </c>
      <c r="J263" s="14" t="n">
        <v>0.348939001059551</v>
      </c>
      <c r="K263" s="12" t="s">
        <v>86</v>
      </c>
      <c r="L263" s="15" t="n">
        <v>1071</v>
      </c>
      <c r="M263" s="15" t="n">
        <v>1</v>
      </c>
    </row>
    <row r="264" customFormat="false" ht="15" hidden="false" customHeight="false" outlineLevel="0" collapsed="false">
      <c r="A264" s="12" t="s">
        <v>34</v>
      </c>
      <c r="B264" s="7" t="s">
        <v>35</v>
      </c>
      <c r="C264" s="12" t="s">
        <v>90</v>
      </c>
      <c r="D264" s="7" t="s">
        <v>31</v>
      </c>
      <c r="E264" s="7" t="s">
        <v>32</v>
      </c>
      <c r="F264" s="12" t="n">
        <f aca="false">IF(D264=E264,1,0)</f>
        <v>0</v>
      </c>
      <c r="G264" s="13" t="n">
        <v>-0.0843585237258347</v>
      </c>
      <c r="H264" s="14" t="n">
        <v>0.332833428918386</v>
      </c>
      <c r="I264" s="14" t="n">
        <v>0.321853998493185</v>
      </c>
      <c r="J264" s="14" t="n">
        <v>0.345312572588429</v>
      </c>
      <c r="K264" s="12" t="s">
        <v>86</v>
      </c>
      <c r="L264" s="15" t="n">
        <v>1071</v>
      </c>
      <c r="M264" s="15" t="n">
        <v>1</v>
      </c>
    </row>
    <row r="265" customFormat="false" ht="15" hidden="false" customHeight="false" outlineLevel="0" collapsed="false">
      <c r="A265" s="12" t="s">
        <v>36</v>
      </c>
      <c r="B265" s="7" t="s">
        <v>37</v>
      </c>
      <c r="C265" s="12" t="s">
        <v>90</v>
      </c>
      <c r="D265" s="7" t="s">
        <v>40</v>
      </c>
      <c r="E265" s="7" t="s">
        <v>32</v>
      </c>
      <c r="F265" s="12" t="n">
        <f aca="false">IF(D265=E265,1,0)</f>
        <v>0</v>
      </c>
      <c r="G265" s="13" t="n">
        <v>-0.0232558139534884</v>
      </c>
      <c r="H265" s="14" t="n">
        <v>0.324432637200417</v>
      </c>
      <c r="I265" s="14" t="n">
        <v>0.34079935686235</v>
      </c>
      <c r="J265" s="14" t="n">
        <v>0.334768005937233</v>
      </c>
      <c r="K265" s="12" t="s">
        <v>86</v>
      </c>
      <c r="L265" s="15" t="n">
        <v>1071</v>
      </c>
      <c r="M265" s="15" t="n">
        <v>1</v>
      </c>
    </row>
    <row r="266" customFormat="false" ht="15" hidden="false" customHeight="false" outlineLevel="0" collapsed="false">
      <c r="A266" s="12" t="s">
        <v>38</v>
      </c>
      <c r="B266" s="7" t="s">
        <v>39</v>
      </c>
      <c r="C266" s="12" t="s">
        <v>90</v>
      </c>
      <c r="D266" s="7" t="s">
        <v>31</v>
      </c>
      <c r="E266" s="7" t="s">
        <v>32</v>
      </c>
      <c r="F266" s="12" t="n">
        <f aca="false">IF(D266=E266,1,0)</f>
        <v>0</v>
      </c>
      <c r="G266" s="13" t="n">
        <v>-0.027906976744186</v>
      </c>
      <c r="H266" s="14" t="n">
        <v>0.330989806187546</v>
      </c>
      <c r="I266" s="14" t="n">
        <v>0.320071192752903</v>
      </c>
      <c r="J266" s="14" t="n">
        <v>0.348939001059551</v>
      </c>
      <c r="K266" s="12" t="s">
        <v>86</v>
      </c>
      <c r="L266" s="15" t="n">
        <v>1071</v>
      </c>
      <c r="M266" s="15" t="n">
        <v>1</v>
      </c>
    </row>
    <row r="267" customFormat="false" ht="15" hidden="false" customHeight="false" outlineLevel="0" collapsed="false">
      <c r="A267" s="12" t="s">
        <v>41</v>
      </c>
      <c r="B267" s="7" t="s">
        <v>42</v>
      </c>
      <c r="C267" s="12" t="s">
        <v>90</v>
      </c>
      <c r="D267" s="7" t="s">
        <v>31</v>
      </c>
      <c r="E267" s="7" t="s">
        <v>32</v>
      </c>
      <c r="F267" s="12" t="n">
        <f aca="false">IF(D267=E267,1,0)</f>
        <v>0</v>
      </c>
      <c r="G267" s="13" t="n">
        <v>-0.0172413793103448</v>
      </c>
      <c r="H267" s="14" t="n">
        <v>0.325045151001078</v>
      </c>
      <c r="I267" s="14" t="n">
        <v>0.32561121370407</v>
      </c>
      <c r="J267" s="14" t="n">
        <v>0.349343635294852</v>
      </c>
      <c r="K267" s="12" t="s">
        <v>86</v>
      </c>
      <c r="L267" s="15" t="n">
        <v>1071</v>
      </c>
      <c r="M267" s="15" t="n">
        <v>1</v>
      </c>
    </row>
    <row r="268" customFormat="false" ht="15" hidden="false" customHeight="false" outlineLevel="0" collapsed="false">
      <c r="A268" s="12" t="s">
        <v>43</v>
      </c>
      <c r="B268" s="7" t="s">
        <v>44</v>
      </c>
      <c r="C268" s="12" t="s">
        <v>90</v>
      </c>
      <c r="D268" s="7" t="s">
        <v>31</v>
      </c>
      <c r="E268" s="7" t="s">
        <v>40</v>
      </c>
      <c r="F268" s="12" t="n">
        <f aca="false">IF(D268=E268,1,0)</f>
        <v>0</v>
      </c>
      <c r="G268" s="13" t="n">
        <v>0.0049999999999998</v>
      </c>
      <c r="H268" s="14" t="n">
        <v>0.332439458935362</v>
      </c>
      <c r="I268" s="14" t="n">
        <v>0.326768195437531</v>
      </c>
      <c r="J268" s="14" t="n">
        <v>0.340792345627107</v>
      </c>
      <c r="K268" s="12" t="s">
        <v>86</v>
      </c>
      <c r="L268" s="15" t="n">
        <v>1071</v>
      </c>
      <c r="M268" s="15" t="n">
        <v>1</v>
      </c>
    </row>
    <row r="269" customFormat="false" ht="15" hidden="false" customHeight="false" outlineLevel="0" collapsed="false">
      <c r="A269" s="12" t="s">
        <v>28</v>
      </c>
      <c r="B269" s="7" t="s">
        <v>29</v>
      </c>
      <c r="C269" s="12" t="s">
        <v>91</v>
      </c>
      <c r="D269" s="7" t="s">
        <v>31</v>
      </c>
      <c r="E269" s="7" t="s">
        <v>32</v>
      </c>
      <c r="F269" s="12" t="n">
        <f aca="false">IF(D269=E269,1,0)</f>
        <v>0</v>
      </c>
      <c r="G269" s="13" t="n">
        <v>-0.0199556541019955</v>
      </c>
      <c r="H269" s="14" t="n">
        <v>0.323223768460779</v>
      </c>
      <c r="I269" s="14" t="n">
        <v>0.323786659245283</v>
      </c>
      <c r="J269" s="14" t="n">
        <v>0.352989572293938</v>
      </c>
      <c r="K269" s="12" t="s">
        <v>86</v>
      </c>
      <c r="L269" s="15" t="n">
        <v>1071</v>
      </c>
      <c r="M269" s="15" t="n">
        <v>1</v>
      </c>
    </row>
    <row r="270" customFormat="false" ht="15" hidden="false" customHeight="false" outlineLevel="0" collapsed="false">
      <c r="A270" s="12" t="s">
        <v>34</v>
      </c>
      <c r="B270" s="7" t="s">
        <v>35</v>
      </c>
      <c r="C270" s="12" t="s">
        <v>91</v>
      </c>
      <c r="D270" s="7" t="s">
        <v>31</v>
      </c>
      <c r="E270" s="7" t="s">
        <v>40</v>
      </c>
      <c r="F270" s="12" t="n">
        <f aca="false">IF(D270=E270,1,0)</f>
        <v>0</v>
      </c>
      <c r="G270" s="13" t="n">
        <v>-0.0074211502782931</v>
      </c>
      <c r="H270" s="14" t="n">
        <v>0.323223768460779</v>
      </c>
      <c r="I270" s="14" t="n">
        <v>0.323786659245283</v>
      </c>
      <c r="J270" s="14" t="n">
        <v>0.352989572293938</v>
      </c>
      <c r="K270" s="12" t="s">
        <v>86</v>
      </c>
      <c r="L270" s="15" t="n">
        <v>1071</v>
      </c>
      <c r="M270" s="15" t="n">
        <v>1</v>
      </c>
    </row>
    <row r="271" customFormat="false" ht="15" hidden="false" customHeight="false" outlineLevel="0" collapsed="false">
      <c r="A271" s="12" t="s">
        <v>36</v>
      </c>
      <c r="B271" s="7" t="s">
        <v>37</v>
      </c>
      <c r="C271" s="12" t="s">
        <v>91</v>
      </c>
      <c r="D271" s="7" t="s">
        <v>31</v>
      </c>
      <c r="E271" s="7" t="s">
        <v>31</v>
      </c>
      <c r="F271" s="12" t="n">
        <f aca="false">IF(D271=E271,1,0)</f>
        <v>1</v>
      </c>
      <c r="G271" s="13" t="n">
        <v>0.0348583877995642</v>
      </c>
      <c r="H271" s="14" t="n">
        <v>0.321482395042398</v>
      </c>
      <c r="I271" s="14" t="n">
        <v>0.332131634070209</v>
      </c>
      <c r="J271" s="14" t="n">
        <v>0.346385970887393</v>
      </c>
      <c r="K271" s="12" t="s">
        <v>86</v>
      </c>
      <c r="L271" s="15" t="n">
        <v>1071</v>
      </c>
      <c r="M271" s="15" t="n">
        <v>1</v>
      </c>
    </row>
    <row r="272" customFormat="false" ht="15" hidden="false" customHeight="false" outlineLevel="0" collapsed="false">
      <c r="A272" s="12" t="s">
        <v>38</v>
      </c>
      <c r="B272" s="7" t="s">
        <v>39</v>
      </c>
      <c r="C272" s="12" t="s">
        <v>91</v>
      </c>
      <c r="D272" s="7" t="s">
        <v>31</v>
      </c>
      <c r="E272" s="7" t="s">
        <v>31</v>
      </c>
      <c r="F272" s="12" t="n">
        <f aca="false">IF(D272=E272,1,0)</f>
        <v>1</v>
      </c>
      <c r="G272" s="13" t="n">
        <v>0.0982800982800982</v>
      </c>
      <c r="H272" s="14" t="n">
        <v>0.327419826157524</v>
      </c>
      <c r="I272" s="14" t="n">
        <v>0.321779160399557</v>
      </c>
      <c r="J272" s="14" t="n">
        <v>0.350801013442919</v>
      </c>
      <c r="K272" s="12" t="s">
        <v>86</v>
      </c>
      <c r="L272" s="15" t="n">
        <v>1071</v>
      </c>
      <c r="M272" s="15" t="n">
        <v>1</v>
      </c>
    </row>
    <row r="273" customFormat="false" ht="15" hidden="false" customHeight="false" outlineLevel="0" collapsed="false">
      <c r="A273" s="12" t="s">
        <v>41</v>
      </c>
      <c r="B273" s="7" t="s">
        <v>42</v>
      </c>
      <c r="C273" s="12" t="s">
        <v>91</v>
      </c>
      <c r="D273" s="7" t="s">
        <v>31</v>
      </c>
      <c r="E273" s="7" t="s">
        <v>40</v>
      </c>
      <c r="F273" s="12" t="n">
        <f aca="false">IF(D273=E273,1,0)</f>
        <v>0</v>
      </c>
      <c r="G273" s="13" t="n">
        <v>0.0022321428571427</v>
      </c>
      <c r="H273" s="14" t="n">
        <v>0.329165007980194</v>
      </c>
      <c r="I273" s="14" t="n">
        <v>0.329738245370672</v>
      </c>
      <c r="J273" s="14" t="n">
        <v>0.341096746649134</v>
      </c>
      <c r="K273" s="12" t="s">
        <v>86</v>
      </c>
      <c r="L273" s="15" t="n">
        <v>1071</v>
      </c>
      <c r="M273" s="15" t="n">
        <v>1</v>
      </c>
    </row>
    <row r="274" customFormat="false" ht="15" hidden="false" customHeight="false" outlineLevel="0" collapsed="false">
      <c r="A274" s="12" t="s">
        <v>43</v>
      </c>
      <c r="B274" s="7" t="s">
        <v>44</v>
      </c>
      <c r="C274" s="12" t="s">
        <v>91</v>
      </c>
      <c r="D274" s="7" t="s">
        <v>31</v>
      </c>
      <c r="E274" s="7" t="s">
        <v>31</v>
      </c>
      <c r="F274" s="12" t="n">
        <f aca="false">IF(D274=E274,1,0)</f>
        <v>1</v>
      </c>
      <c r="G274" s="13" t="n">
        <v>0.0947368421052632</v>
      </c>
      <c r="H274" s="14" t="n">
        <v>0.328997744834621</v>
      </c>
      <c r="I274" s="14" t="n">
        <v>0.329669180498494</v>
      </c>
      <c r="J274" s="14" t="n">
        <v>0.341333074666885</v>
      </c>
      <c r="K274" s="12" t="s">
        <v>86</v>
      </c>
      <c r="L274" s="15" t="n">
        <v>1071</v>
      </c>
      <c r="M274" s="15" t="n">
        <v>1</v>
      </c>
    </row>
    <row r="275" customFormat="false" ht="15" hidden="false" customHeight="false" outlineLevel="0" collapsed="false">
      <c r="A275" s="12" t="s">
        <v>28</v>
      </c>
      <c r="B275" s="7" t="s">
        <v>29</v>
      </c>
      <c r="C275" s="12" t="s">
        <v>92</v>
      </c>
      <c r="D275" s="7" t="s">
        <v>31</v>
      </c>
      <c r="E275" s="7" t="s">
        <v>32</v>
      </c>
      <c r="F275" s="12" t="n">
        <f aca="false">IF(D275=E275,1,0)</f>
        <v>0</v>
      </c>
      <c r="G275" s="13" t="n">
        <v>-0.0766045548654243</v>
      </c>
      <c r="H275" s="14" t="n">
        <v>0.330989806187546</v>
      </c>
      <c r="I275" s="14" t="n">
        <v>0.320071192752903</v>
      </c>
      <c r="J275" s="14" t="n">
        <v>0.348939001059551</v>
      </c>
      <c r="K275" s="12" t="s">
        <v>86</v>
      </c>
      <c r="L275" s="15" t="n">
        <v>1071</v>
      </c>
      <c r="M275" s="15" t="n">
        <v>1</v>
      </c>
    </row>
    <row r="276" customFormat="false" ht="15" hidden="false" customHeight="false" outlineLevel="0" collapsed="false">
      <c r="A276" s="12" t="s">
        <v>34</v>
      </c>
      <c r="B276" s="7" t="s">
        <v>35</v>
      </c>
      <c r="C276" s="12" t="s">
        <v>92</v>
      </c>
      <c r="D276" s="7" t="s">
        <v>31</v>
      </c>
      <c r="E276" s="7" t="s">
        <v>32</v>
      </c>
      <c r="F276" s="12" t="n">
        <f aca="false">IF(D276=E276,1,0)</f>
        <v>0</v>
      </c>
      <c r="G276" s="13" t="n">
        <v>-0.0306306306306306</v>
      </c>
      <c r="H276" s="14" t="n">
        <v>0.330989806187546</v>
      </c>
      <c r="I276" s="14" t="n">
        <v>0.320071192752903</v>
      </c>
      <c r="J276" s="14" t="n">
        <v>0.348939001059551</v>
      </c>
      <c r="K276" s="12" t="s">
        <v>86</v>
      </c>
      <c r="L276" s="15" t="n">
        <v>1071</v>
      </c>
      <c r="M276" s="15" t="n">
        <v>1</v>
      </c>
    </row>
    <row r="277" customFormat="false" ht="15" hidden="false" customHeight="false" outlineLevel="0" collapsed="false">
      <c r="A277" s="12" t="s">
        <v>36</v>
      </c>
      <c r="B277" s="7" t="s">
        <v>37</v>
      </c>
      <c r="C277" s="12" t="s">
        <v>92</v>
      </c>
      <c r="D277" s="7" t="s">
        <v>31</v>
      </c>
      <c r="E277" s="7" t="s">
        <v>31</v>
      </c>
      <c r="F277" s="12" t="n">
        <f aca="false">IF(D277=E277,1,0)</f>
        <v>1</v>
      </c>
      <c r="G277" s="13" t="n">
        <v>0.0412147505422992</v>
      </c>
      <c r="H277" s="14" t="n">
        <v>0.327664450639686</v>
      </c>
      <c r="I277" s="14" t="n">
        <v>0.33506418829305</v>
      </c>
      <c r="J277" s="14" t="n">
        <v>0.337271361067264</v>
      </c>
      <c r="K277" s="12" t="s">
        <v>86</v>
      </c>
      <c r="L277" s="15" t="n">
        <v>1071</v>
      </c>
      <c r="M277" s="15" t="n">
        <v>1</v>
      </c>
    </row>
    <row r="278" customFormat="false" ht="15" hidden="false" customHeight="false" outlineLevel="0" collapsed="false">
      <c r="A278" s="12" t="s">
        <v>38</v>
      </c>
      <c r="B278" s="7" t="s">
        <v>39</v>
      </c>
      <c r="C278" s="12" t="s">
        <v>92</v>
      </c>
      <c r="D278" s="7" t="s">
        <v>31</v>
      </c>
      <c r="E278" s="7" t="s">
        <v>31</v>
      </c>
      <c r="F278" s="12" t="n">
        <f aca="false">IF(D278=E278,1,0)</f>
        <v>1</v>
      </c>
      <c r="G278" s="13" t="n">
        <v>0.0189944134078212</v>
      </c>
      <c r="H278" s="14" t="n">
        <v>0.330989806187546</v>
      </c>
      <c r="I278" s="14" t="n">
        <v>0.320071192752903</v>
      </c>
      <c r="J278" s="14" t="n">
        <v>0.348939001059551</v>
      </c>
      <c r="K278" s="12" t="s">
        <v>86</v>
      </c>
      <c r="L278" s="15" t="n">
        <v>1071</v>
      </c>
      <c r="M278" s="15" t="n">
        <v>1</v>
      </c>
    </row>
    <row r="279" customFormat="false" ht="15" hidden="false" customHeight="false" outlineLevel="0" collapsed="false">
      <c r="A279" s="12" t="s">
        <v>41</v>
      </c>
      <c r="B279" s="7" t="s">
        <v>42</v>
      </c>
      <c r="C279" s="12" t="s">
        <v>92</v>
      </c>
      <c r="D279" s="7" t="s">
        <v>31</v>
      </c>
      <c r="E279" s="7" t="s">
        <v>40</v>
      </c>
      <c r="F279" s="12" t="n">
        <f aca="false">IF(D279=E279,1,0)</f>
        <v>0</v>
      </c>
      <c r="G279" s="13" t="n">
        <v>-0.0067567567567567</v>
      </c>
      <c r="H279" s="14" t="n">
        <v>0.33340019840314</v>
      </c>
      <c r="I279" s="14" t="n">
        <v>0.327656505038869</v>
      </c>
      <c r="J279" s="14" t="n">
        <v>0.338943296557992</v>
      </c>
      <c r="K279" s="12" t="s">
        <v>86</v>
      </c>
      <c r="L279" s="15" t="n">
        <v>1071</v>
      </c>
      <c r="M279" s="15" t="n">
        <v>1</v>
      </c>
    </row>
    <row r="280" customFormat="false" ht="15" hidden="false" customHeight="false" outlineLevel="0" collapsed="false">
      <c r="A280" s="12" t="s">
        <v>43</v>
      </c>
      <c r="B280" s="7" t="s">
        <v>44</v>
      </c>
      <c r="C280" s="12" t="s">
        <v>92</v>
      </c>
      <c r="D280" s="7" t="s">
        <v>31</v>
      </c>
      <c r="E280" s="7" t="s">
        <v>31</v>
      </c>
      <c r="F280" s="12" t="n">
        <f aca="false">IF(D280=E280,1,0)</f>
        <v>1</v>
      </c>
      <c r="G280" s="13" t="n">
        <v>0.0528846153846154</v>
      </c>
      <c r="H280" s="14" t="n">
        <v>0.328997744834621</v>
      </c>
      <c r="I280" s="14" t="n">
        <v>0.329669180498494</v>
      </c>
      <c r="J280" s="14" t="n">
        <v>0.341333074666885</v>
      </c>
      <c r="K280" s="12" t="s">
        <v>86</v>
      </c>
      <c r="L280" s="15" t="n">
        <v>1071</v>
      </c>
      <c r="M280" s="15" t="n">
        <v>1</v>
      </c>
    </row>
    <row r="281" customFormat="false" ht="15" hidden="false" customHeight="false" outlineLevel="0" collapsed="false">
      <c r="A281" s="12" t="s">
        <v>28</v>
      </c>
      <c r="B281" s="7" t="s">
        <v>29</v>
      </c>
      <c r="C281" s="12" t="s">
        <v>93</v>
      </c>
      <c r="D281" s="7" t="s">
        <v>31</v>
      </c>
      <c r="E281" s="7" t="s">
        <v>32</v>
      </c>
      <c r="F281" s="12" t="n">
        <f aca="false">IF(D281=E281,1,0)</f>
        <v>0</v>
      </c>
      <c r="G281" s="13" t="n">
        <v>-0.0204545454545455</v>
      </c>
      <c r="H281" s="14" t="n">
        <v>0.323223768460779</v>
      </c>
      <c r="I281" s="14" t="n">
        <v>0.323786659245283</v>
      </c>
      <c r="J281" s="14" t="n">
        <v>0.352989572293938</v>
      </c>
      <c r="K281" s="12" t="s">
        <v>86</v>
      </c>
      <c r="L281" s="15" t="n">
        <v>1071</v>
      </c>
      <c r="M281" s="15" t="n">
        <v>1</v>
      </c>
    </row>
    <row r="282" customFormat="false" ht="15" hidden="false" customHeight="false" outlineLevel="0" collapsed="false">
      <c r="A282" s="12" t="s">
        <v>34</v>
      </c>
      <c r="B282" s="7" t="s">
        <v>35</v>
      </c>
      <c r="C282" s="12" t="s">
        <v>93</v>
      </c>
      <c r="D282" s="7" t="s">
        <v>31</v>
      </c>
      <c r="E282" s="7" t="s">
        <v>31</v>
      </c>
      <c r="F282" s="12" t="n">
        <f aca="false">IF(D282=E282,1,0)</f>
        <v>1</v>
      </c>
      <c r="G282" s="13" t="n">
        <v>0.0342205323193915</v>
      </c>
      <c r="H282" s="14" t="n">
        <v>0.323223768460779</v>
      </c>
      <c r="I282" s="14" t="n">
        <v>0.323786659245283</v>
      </c>
      <c r="J282" s="14" t="n">
        <v>0.352989572293938</v>
      </c>
      <c r="K282" s="12" t="s">
        <v>86</v>
      </c>
      <c r="L282" s="15" t="n">
        <v>1071</v>
      </c>
      <c r="M282" s="15" t="n">
        <v>1</v>
      </c>
    </row>
    <row r="283" customFormat="false" ht="15" hidden="false" customHeight="false" outlineLevel="0" collapsed="false">
      <c r="A283" s="12" t="s">
        <v>36</v>
      </c>
      <c r="B283" s="7" t="s">
        <v>37</v>
      </c>
      <c r="C283" s="12" t="s">
        <v>93</v>
      </c>
      <c r="D283" s="7" t="s">
        <v>40</v>
      </c>
      <c r="E283" s="7" t="s">
        <v>31</v>
      </c>
      <c r="F283" s="12" t="n">
        <f aca="false">IF(D283=E283,1,0)</f>
        <v>0</v>
      </c>
      <c r="G283" s="13" t="n">
        <v>0.0576496674057649</v>
      </c>
      <c r="H283" s="14" t="n">
        <v>0.324432637200417</v>
      </c>
      <c r="I283" s="14" t="n">
        <v>0.34079935686235</v>
      </c>
      <c r="J283" s="14" t="n">
        <v>0.334768005937233</v>
      </c>
      <c r="K283" s="12" t="s">
        <v>86</v>
      </c>
      <c r="L283" s="15" t="n">
        <v>1071</v>
      </c>
      <c r="M283" s="15" t="n">
        <v>1</v>
      </c>
    </row>
    <row r="284" customFormat="false" ht="15" hidden="false" customHeight="false" outlineLevel="0" collapsed="false">
      <c r="A284" s="12" t="s">
        <v>38</v>
      </c>
      <c r="B284" s="7" t="s">
        <v>39</v>
      </c>
      <c r="C284" s="12" t="s">
        <v>93</v>
      </c>
      <c r="D284" s="7" t="s">
        <v>31</v>
      </c>
      <c r="E284" s="7" t="s">
        <v>31</v>
      </c>
      <c r="F284" s="12" t="n">
        <f aca="false">IF(D284=E284,1,0)</f>
        <v>1</v>
      </c>
      <c r="G284" s="13" t="n">
        <v>0.0734055354993983</v>
      </c>
      <c r="H284" s="14" t="n">
        <v>0.330989806187546</v>
      </c>
      <c r="I284" s="14" t="n">
        <v>0.320071192752903</v>
      </c>
      <c r="J284" s="14" t="n">
        <v>0.348939001059551</v>
      </c>
      <c r="K284" s="12" t="s">
        <v>86</v>
      </c>
      <c r="L284" s="15" t="n">
        <v>1071</v>
      </c>
      <c r="M284" s="15" t="n">
        <v>1</v>
      </c>
    </row>
    <row r="285" customFormat="false" ht="15" hidden="false" customHeight="false" outlineLevel="0" collapsed="false">
      <c r="A285" s="12" t="s">
        <v>41</v>
      </c>
      <c r="B285" s="7" t="s">
        <v>42</v>
      </c>
      <c r="C285" s="12" t="s">
        <v>93</v>
      </c>
      <c r="D285" s="7" t="s">
        <v>32</v>
      </c>
      <c r="E285" s="7" t="s">
        <v>32</v>
      </c>
      <c r="F285" s="12" t="n">
        <f aca="false">IF(D285=E285,1,0)</f>
        <v>1</v>
      </c>
      <c r="G285" s="13" t="n">
        <v>-0.130044843049327</v>
      </c>
      <c r="H285" s="14" t="n">
        <v>0.343654002982818</v>
      </c>
      <c r="I285" s="14" t="n">
        <v>0.322616410871603</v>
      </c>
      <c r="J285" s="14" t="n">
        <v>0.333729586145579</v>
      </c>
      <c r="K285" s="12" t="s">
        <v>86</v>
      </c>
      <c r="L285" s="15" t="n">
        <v>1071</v>
      </c>
      <c r="M285" s="15" t="n">
        <v>1</v>
      </c>
    </row>
    <row r="286" customFormat="false" ht="15" hidden="false" customHeight="false" outlineLevel="0" collapsed="false">
      <c r="A286" s="12" t="s">
        <v>43</v>
      </c>
      <c r="B286" s="7" t="s">
        <v>44</v>
      </c>
      <c r="C286" s="12" t="s">
        <v>93</v>
      </c>
      <c r="D286" s="7" t="s">
        <v>40</v>
      </c>
      <c r="E286" s="7" t="s">
        <v>31</v>
      </c>
      <c r="F286" s="12" t="n">
        <f aca="false">IF(D286=E286,1,0)</f>
        <v>0</v>
      </c>
      <c r="G286" s="13" t="n">
        <v>0.136136136136136</v>
      </c>
      <c r="H286" s="14" t="n">
        <v>0.333070897645836</v>
      </c>
      <c r="I286" s="14" t="n">
        <v>0.333750646011254</v>
      </c>
      <c r="J286" s="14" t="n">
        <v>0.33317845634291</v>
      </c>
      <c r="K286" s="12" t="s">
        <v>86</v>
      </c>
      <c r="L286" s="15" t="n">
        <v>1071</v>
      </c>
      <c r="M286" s="15" t="n">
        <v>1</v>
      </c>
    </row>
    <row r="287" customFormat="false" ht="15" hidden="false" customHeight="false" outlineLevel="0" collapsed="false">
      <c r="A287" s="12" t="s">
        <v>28</v>
      </c>
      <c r="B287" s="7" t="s">
        <v>29</v>
      </c>
      <c r="C287" s="12" t="s">
        <v>94</v>
      </c>
      <c r="D287" s="7" t="s">
        <v>31</v>
      </c>
      <c r="E287" s="7" t="s">
        <v>40</v>
      </c>
      <c r="F287" s="12" t="n">
        <f aca="false">IF(D287=E287,1,0)</f>
        <v>0</v>
      </c>
      <c r="G287" s="13" t="n">
        <v>-0.0046296296296296</v>
      </c>
      <c r="H287" s="14" t="n">
        <v>0.323223768460779</v>
      </c>
      <c r="I287" s="14" t="n">
        <v>0.323786659245283</v>
      </c>
      <c r="J287" s="14" t="n">
        <v>0.352989572293938</v>
      </c>
      <c r="K287" s="12" t="s">
        <v>86</v>
      </c>
      <c r="L287" s="15" t="n">
        <v>1071</v>
      </c>
      <c r="M287" s="15" t="n">
        <v>1</v>
      </c>
    </row>
    <row r="288" customFormat="false" ht="15" hidden="false" customHeight="false" outlineLevel="0" collapsed="false">
      <c r="A288" s="12" t="s">
        <v>34</v>
      </c>
      <c r="B288" s="7" t="s">
        <v>35</v>
      </c>
      <c r="C288" s="12" t="s">
        <v>94</v>
      </c>
      <c r="D288" s="7" t="s">
        <v>31</v>
      </c>
      <c r="E288" s="7" t="s">
        <v>31</v>
      </c>
      <c r="F288" s="12" t="n">
        <f aca="false">IF(D288=E288,1,0)</f>
        <v>1</v>
      </c>
      <c r="G288" s="13" t="n">
        <v>0.0386847195357833</v>
      </c>
      <c r="H288" s="14" t="n">
        <v>0.323223768460779</v>
      </c>
      <c r="I288" s="14" t="n">
        <v>0.323786659245283</v>
      </c>
      <c r="J288" s="14" t="n">
        <v>0.352989572293938</v>
      </c>
      <c r="K288" s="12" t="s">
        <v>86</v>
      </c>
      <c r="L288" s="15" t="n">
        <v>1071</v>
      </c>
      <c r="M288" s="15" t="n">
        <v>1</v>
      </c>
    </row>
    <row r="289" customFormat="false" ht="15" hidden="false" customHeight="false" outlineLevel="0" collapsed="false">
      <c r="A289" s="12" t="s">
        <v>36</v>
      </c>
      <c r="B289" s="7" t="s">
        <v>37</v>
      </c>
      <c r="C289" s="12" t="s">
        <v>94</v>
      </c>
      <c r="D289" s="7" t="s">
        <v>40</v>
      </c>
      <c r="E289" s="7" t="s">
        <v>31</v>
      </c>
      <c r="F289" s="12" t="n">
        <f aca="false">IF(D289=E289,1,0)</f>
        <v>0</v>
      </c>
      <c r="G289" s="13" t="n">
        <v>0.0711111111111111</v>
      </c>
      <c r="H289" s="14" t="n">
        <v>0.324432637200417</v>
      </c>
      <c r="I289" s="14" t="n">
        <v>0.34079935686235</v>
      </c>
      <c r="J289" s="14" t="n">
        <v>0.334768005937233</v>
      </c>
      <c r="K289" s="12" t="s">
        <v>86</v>
      </c>
      <c r="L289" s="15" t="n">
        <v>1071</v>
      </c>
      <c r="M289" s="15" t="n">
        <v>1</v>
      </c>
    </row>
    <row r="290" customFormat="false" ht="15" hidden="false" customHeight="false" outlineLevel="0" collapsed="false">
      <c r="A290" s="12" t="s">
        <v>38</v>
      </c>
      <c r="B290" s="7" t="s">
        <v>39</v>
      </c>
      <c r="C290" s="12" t="s">
        <v>94</v>
      </c>
      <c r="D290" s="7" t="s">
        <v>31</v>
      </c>
      <c r="E290" s="7" t="s">
        <v>31</v>
      </c>
      <c r="F290" s="12" t="n">
        <f aca="false">IF(D290=E290,1,0)</f>
        <v>1</v>
      </c>
      <c r="G290" s="13" t="n">
        <v>0.0746634026927783</v>
      </c>
      <c r="H290" s="14" t="n">
        <v>0.330989806187546</v>
      </c>
      <c r="I290" s="14" t="n">
        <v>0.320071192752903</v>
      </c>
      <c r="J290" s="14" t="n">
        <v>0.348939001059551</v>
      </c>
      <c r="K290" s="12" t="s">
        <v>86</v>
      </c>
      <c r="L290" s="15" t="n">
        <v>1071</v>
      </c>
      <c r="M290" s="15" t="n">
        <v>1</v>
      </c>
    </row>
    <row r="291" customFormat="false" ht="15" hidden="false" customHeight="false" outlineLevel="0" collapsed="false">
      <c r="A291" s="12" t="s">
        <v>41</v>
      </c>
      <c r="B291" s="7" t="s">
        <v>42</v>
      </c>
      <c r="C291" s="12" t="s">
        <v>94</v>
      </c>
      <c r="D291" s="7" t="s">
        <v>32</v>
      </c>
      <c r="E291" s="7" t="s">
        <v>32</v>
      </c>
      <c r="F291" s="12" t="n">
        <f aca="false">IF(D291=E291,1,0)</f>
        <v>1</v>
      </c>
      <c r="G291" s="13" t="n">
        <v>-0.146017699115044</v>
      </c>
      <c r="H291" s="14" t="n">
        <v>0.343654002982818</v>
      </c>
      <c r="I291" s="14" t="n">
        <v>0.322616410871603</v>
      </c>
      <c r="J291" s="14" t="n">
        <v>0.333729586145579</v>
      </c>
      <c r="K291" s="12" t="s">
        <v>86</v>
      </c>
      <c r="L291" s="15" t="n">
        <v>1071</v>
      </c>
      <c r="M291" s="15" t="n">
        <v>1</v>
      </c>
    </row>
    <row r="292" customFormat="false" ht="15" hidden="false" customHeight="false" outlineLevel="0" collapsed="false">
      <c r="A292" s="12" t="s">
        <v>43</v>
      </c>
      <c r="B292" s="7" t="s">
        <v>44</v>
      </c>
      <c r="C292" s="12" t="s">
        <v>94</v>
      </c>
      <c r="D292" s="7" t="s">
        <v>31</v>
      </c>
      <c r="E292" s="7" t="s">
        <v>31</v>
      </c>
      <c r="F292" s="12" t="n">
        <f aca="false">IF(D292=E292,1,0)</f>
        <v>1</v>
      </c>
      <c r="G292" s="13" t="n">
        <v>0.149253731343284</v>
      </c>
      <c r="H292" s="14" t="n">
        <v>0.328997744834621</v>
      </c>
      <c r="I292" s="14" t="n">
        <v>0.329669180498494</v>
      </c>
      <c r="J292" s="14" t="n">
        <v>0.341333074666885</v>
      </c>
      <c r="K292" s="12" t="s">
        <v>86</v>
      </c>
      <c r="L292" s="15" t="n">
        <v>1071</v>
      </c>
      <c r="M292" s="15" t="n">
        <v>1</v>
      </c>
    </row>
    <row r="293" customFormat="false" ht="15" hidden="false" customHeight="false" outlineLevel="0" collapsed="false">
      <c r="A293" s="12" t="s">
        <v>28</v>
      </c>
      <c r="B293" s="7" t="s">
        <v>29</v>
      </c>
      <c r="C293" s="12" t="s">
        <v>95</v>
      </c>
      <c r="D293" s="7" t="s">
        <v>31</v>
      </c>
      <c r="E293" s="7" t="s">
        <v>32</v>
      </c>
      <c r="F293" s="12" t="n">
        <f aca="false">IF(D293=E293,1,0)</f>
        <v>0</v>
      </c>
      <c r="G293" s="13" t="n">
        <v>-0.0293453724604966</v>
      </c>
      <c r="H293" s="14" t="n">
        <v>0.323223768460779</v>
      </c>
      <c r="I293" s="14" t="n">
        <v>0.323786659245283</v>
      </c>
      <c r="J293" s="14" t="n">
        <v>0.352989572293938</v>
      </c>
      <c r="K293" s="12" t="s">
        <v>86</v>
      </c>
      <c r="L293" s="15" t="n">
        <v>1071</v>
      </c>
      <c r="M293" s="15" t="n">
        <v>1</v>
      </c>
    </row>
    <row r="294" customFormat="false" ht="15" hidden="false" customHeight="false" outlineLevel="0" collapsed="false">
      <c r="A294" s="12" t="s">
        <v>34</v>
      </c>
      <c r="B294" s="7" t="s">
        <v>35</v>
      </c>
      <c r="C294" s="12" t="s">
        <v>95</v>
      </c>
      <c r="D294" s="7" t="s">
        <v>31</v>
      </c>
      <c r="E294" s="7" t="s">
        <v>31</v>
      </c>
      <c r="F294" s="12" t="n">
        <f aca="false">IF(D294=E294,1,0)</f>
        <v>1</v>
      </c>
      <c r="G294" s="13" t="n">
        <v>0.0307101727447216</v>
      </c>
      <c r="H294" s="14" t="n">
        <v>0.323223768460779</v>
      </c>
      <c r="I294" s="14" t="n">
        <v>0.323786659245283</v>
      </c>
      <c r="J294" s="14" t="n">
        <v>0.352989572293938</v>
      </c>
      <c r="K294" s="12" t="s">
        <v>86</v>
      </c>
      <c r="L294" s="15" t="n">
        <v>1071</v>
      </c>
      <c r="M294" s="15" t="n">
        <v>1</v>
      </c>
    </row>
    <row r="295" customFormat="false" ht="15" hidden="false" customHeight="false" outlineLevel="0" collapsed="false">
      <c r="A295" s="12" t="s">
        <v>36</v>
      </c>
      <c r="B295" s="7" t="s">
        <v>37</v>
      </c>
      <c r="C295" s="12" t="s">
        <v>95</v>
      </c>
      <c r="D295" s="7" t="s">
        <v>40</v>
      </c>
      <c r="E295" s="7" t="s">
        <v>31</v>
      </c>
      <c r="F295" s="12" t="n">
        <f aca="false">IF(D295=E295,1,0)</f>
        <v>0</v>
      </c>
      <c r="G295" s="13" t="n">
        <v>0.0865800865800865</v>
      </c>
      <c r="H295" s="14" t="n">
        <v>0.319605204815258</v>
      </c>
      <c r="I295" s="14" t="n">
        <v>0.348369084699376</v>
      </c>
      <c r="J295" s="14" t="n">
        <v>0.332025710485366</v>
      </c>
      <c r="K295" s="12" t="s">
        <v>86</v>
      </c>
      <c r="L295" s="15" t="n">
        <v>1071</v>
      </c>
      <c r="M295" s="15" t="n">
        <v>1</v>
      </c>
    </row>
    <row r="296" customFormat="false" ht="15" hidden="false" customHeight="false" outlineLevel="0" collapsed="false">
      <c r="A296" s="12" t="s">
        <v>38</v>
      </c>
      <c r="B296" s="7" t="s">
        <v>39</v>
      </c>
      <c r="C296" s="12" t="s">
        <v>95</v>
      </c>
      <c r="D296" s="7" t="s">
        <v>31</v>
      </c>
      <c r="E296" s="7" t="s">
        <v>31</v>
      </c>
      <c r="F296" s="12" t="n">
        <f aca="false">IF(D296=E296,1,0)</f>
        <v>1</v>
      </c>
      <c r="G296" s="13" t="n">
        <v>0.0681818181818181</v>
      </c>
      <c r="H296" s="14" t="n">
        <v>0.330989806187546</v>
      </c>
      <c r="I296" s="14" t="n">
        <v>0.320071192752903</v>
      </c>
      <c r="J296" s="14" t="n">
        <v>0.348939001059551</v>
      </c>
      <c r="K296" s="12" t="s">
        <v>86</v>
      </c>
      <c r="L296" s="15" t="n">
        <v>1071</v>
      </c>
      <c r="M296" s="15" t="n">
        <v>1</v>
      </c>
    </row>
    <row r="297" customFormat="false" ht="15" hidden="false" customHeight="false" outlineLevel="0" collapsed="false">
      <c r="A297" s="12" t="s">
        <v>41</v>
      </c>
      <c r="B297" s="7" t="s">
        <v>42</v>
      </c>
      <c r="C297" s="12" t="s">
        <v>95</v>
      </c>
      <c r="D297" s="7" t="s">
        <v>32</v>
      </c>
      <c r="E297" s="7" t="s">
        <v>32</v>
      </c>
      <c r="F297" s="12" t="n">
        <f aca="false">IF(D297=E297,1,0)</f>
        <v>1</v>
      </c>
      <c r="G297" s="13" t="n">
        <v>-0.153508771929825</v>
      </c>
      <c r="H297" s="14" t="n">
        <v>0.343654002982818</v>
      </c>
      <c r="I297" s="14" t="n">
        <v>0.322616410871603</v>
      </c>
      <c r="J297" s="14" t="n">
        <v>0.333729586145579</v>
      </c>
      <c r="K297" s="12" t="s">
        <v>86</v>
      </c>
      <c r="L297" s="15" t="n">
        <v>1071</v>
      </c>
      <c r="M297" s="15" t="n">
        <v>1</v>
      </c>
    </row>
    <row r="298" customFormat="false" ht="15" hidden="false" customHeight="false" outlineLevel="0" collapsed="false">
      <c r="A298" s="12" t="s">
        <v>43</v>
      </c>
      <c r="B298" s="7" t="s">
        <v>44</v>
      </c>
      <c r="C298" s="12" t="s">
        <v>95</v>
      </c>
      <c r="D298" s="7" t="s">
        <v>31</v>
      </c>
      <c r="E298" s="7" t="s">
        <v>31</v>
      </c>
      <c r="F298" s="12" t="n">
        <f aca="false">IF(D298=E298,1,0)</f>
        <v>1</v>
      </c>
      <c r="G298" s="13" t="n">
        <v>0.124378109452736</v>
      </c>
      <c r="H298" s="14" t="n">
        <v>0.332833428918386</v>
      </c>
      <c r="I298" s="14" t="n">
        <v>0.321853998493185</v>
      </c>
      <c r="J298" s="14" t="n">
        <v>0.345312572588429</v>
      </c>
      <c r="K298" s="12" t="s">
        <v>86</v>
      </c>
      <c r="L298" s="15" t="n">
        <v>1071</v>
      </c>
      <c r="M298" s="15" t="n">
        <v>1</v>
      </c>
    </row>
    <row r="299" customFormat="false" ht="15" hidden="false" customHeight="false" outlineLevel="0" collapsed="false">
      <c r="A299" s="12" t="s">
        <v>28</v>
      </c>
      <c r="B299" s="7" t="s">
        <v>29</v>
      </c>
      <c r="C299" s="12" t="s">
        <v>96</v>
      </c>
      <c r="D299" s="7" t="s">
        <v>31</v>
      </c>
      <c r="E299" s="7" t="s">
        <v>32</v>
      </c>
      <c r="F299" s="12" t="n">
        <f aca="false">IF(D299=E299,1,0)</f>
        <v>0</v>
      </c>
      <c r="G299" s="13" t="n">
        <v>-0.0588235294117647</v>
      </c>
      <c r="H299" s="14" t="n">
        <v>0.323223768460779</v>
      </c>
      <c r="I299" s="14" t="n">
        <v>0.323786659245283</v>
      </c>
      <c r="J299" s="14" t="n">
        <v>0.352989572293938</v>
      </c>
      <c r="K299" s="12" t="s">
        <v>86</v>
      </c>
      <c r="L299" s="15" t="n">
        <v>1071</v>
      </c>
      <c r="M299" s="15" t="n">
        <v>1</v>
      </c>
    </row>
    <row r="300" customFormat="false" ht="15" hidden="false" customHeight="false" outlineLevel="0" collapsed="false">
      <c r="A300" s="12" t="s">
        <v>34</v>
      </c>
      <c r="B300" s="7" t="s">
        <v>35</v>
      </c>
      <c r="C300" s="12" t="s">
        <v>96</v>
      </c>
      <c r="D300" s="7" t="s">
        <v>31</v>
      </c>
      <c r="E300" s="7" t="s">
        <v>32</v>
      </c>
      <c r="F300" s="12" t="n">
        <f aca="false">IF(D300=E300,1,0)</f>
        <v>0</v>
      </c>
      <c r="G300" s="13" t="n">
        <v>-0.0299065420560747</v>
      </c>
      <c r="H300" s="14" t="n">
        <v>0.323223768460779</v>
      </c>
      <c r="I300" s="14" t="n">
        <v>0.323786659245283</v>
      </c>
      <c r="J300" s="14" t="n">
        <v>0.352989572293938</v>
      </c>
      <c r="K300" s="12" t="s">
        <v>86</v>
      </c>
      <c r="L300" s="15" t="n">
        <v>1071</v>
      </c>
      <c r="M300" s="15" t="n">
        <v>1</v>
      </c>
    </row>
    <row r="301" customFormat="false" ht="15" hidden="false" customHeight="false" outlineLevel="0" collapsed="false">
      <c r="A301" s="12" t="s">
        <v>36</v>
      </c>
      <c r="B301" s="7" t="s">
        <v>37</v>
      </c>
      <c r="C301" s="12" t="s">
        <v>96</v>
      </c>
      <c r="D301" s="7" t="s">
        <v>31</v>
      </c>
      <c r="E301" s="7" t="s">
        <v>31</v>
      </c>
      <c r="F301" s="12" t="n">
        <f aca="false">IF(D301=E301,1,0)</f>
        <v>1</v>
      </c>
      <c r="G301" s="13" t="n">
        <v>0.0484210526315789</v>
      </c>
      <c r="H301" s="14" t="n">
        <v>0.32861170938492</v>
      </c>
      <c r="I301" s="14" t="n">
        <v>0.327088205404229</v>
      </c>
      <c r="J301" s="14" t="n">
        <v>0.344300085210852</v>
      </c>
      <c r="K301" s="12" t="s">
        <v>86</v>
      </c>
      <c r="L301" s="15" t="n">
        <v>1071</v>
      </c>
      <c r="M301" s="15" t="n">
        <v>1</v>
      </c>
    </row>
    <row r="302" customFormat="false" ht="15" hidden="false" customHeight="false" outlineLevel="0" collapsed="false">
      <c r="A302" s="12" t="s">
        <v>38</v>
      </c>
      <c r="B302" s="7" t="s">
        <v>39</v>
      </c>
      <c r="C302" s="12" t="s">
        <v>96</v>
      </c>
      <c r="D302" s="7" t="s">
        <v>31</v>
      </c>
      <c r="E302" s="7" t="s">
        <v>31</v>
      </c>
      <c r="F302" s="12" t="n">
        <f aca="false">IF(D302=E302,1,0)</f>
        <v>1</v>
      </c>
      <c r="G302" s="13" t="n">
        <v>0.0145413870246084</v>
      </c>
      <c r="H302" s="14" t="n">
        <v>0.330989806187546</v>
      </c>
      <c r="I302" s="14" t="n">
        <v>0.320071192752903</v>
      </c>
      <c r="J302" s="14" t="n">
        <v>0.348939001059551</v>
      </c>
      <c r="K302" s="12" t="s">
        <v>86</v>
      </c>
      <c r="L302" s="15" t="n">
        <v>1071</v>
      </c>
      <c r="M302" s="15" t="n">
        <v>1</v>
      </c>
    </row>
    <row r="303" customFormat="false" ht="15" hidden="false" customHeight="false" outlineLevel="0" collapsed="false">
      <c r="A303" s="12" t="s">
        <v>41</v>
      </c>
      <c r="B303" s="7" t="s">
        <v>42</v>
      </c>
      <c r="C303" s="12" t="s">
        <v>96</v>
      </c>
      <c r="D303" s="7" t="s">
        <v>31</v>
      </c>
      <c r="E303" s="7" t="s">
        <v>32</v>
      </c>
      <c r="F303" s="12" t="n">
        <f aca="false">IF(D303=E303,1,0)</f>
        <v>0</v>
      </c>
      <c r="G303" s="13" t="n">
        <v>-0.158129175946548</v>
      </c>
      <c r="H303" s="14" t="n">
        <v>0.33340019840314</v>
      </c>
      <c r="I303" s="14" t="n">
        <v>0.327656505038869</v>
      </c>
      <c r="J303" s="14" t="n">
        <v>0.338943296557992</v>
      </c>
      <c r="K303" s="12" t="s">
        <v>86</v>
      </c>
      <c r="L303" s="15" t="n">
        <v>1071</v>
      </c>
      <c r="M303" s="15" t="n">
        <v>1</v>
      </c>
    </row>
    <row r="304" customFormat="false" ht="15" hidden="false" customHeight="false" outlineLevel="0" collapsed="false">
      <c r="A304" s="12" t="s">
        <v>43</v>
      </c>
      <c r="B304" s="7" t="s">
        <v>44</v>
      </c>
      <c r="C304" s="12" t="s">
        <v>96</v>
      </c>
      <c r="D304" s="7" t="s">
        <v>31</v>
      </c>
      <c r="E304" s="7" t="s">
        <v>31</v>
      </c>
      <c r="F304" s="12" t="n">
        <f aca="false">IF(D304=E304,1,0)</f>
        <v>1</v>
      </c>
      <c r="G304" s="13" t="n">
        <v>0.0913461538461537</v>
      </c>
      <c r="H304" s="14" t="n">
        <v>0.337002712454985</v>
      </c>
      <c r="I304" s="14" t="n">
        <v>0.325885746690676</v>
      </c>
      <c r="J304" s="14" t="n">
        <v>0.337111540854339</v>
      </c>
      <c r="K304" s="12" t="s">
        <v>86</v>
      </c>
      <c r="L304" s="15" t="n">
        <v>1071</v>
      </c>
      <c r="M304" s="15" t="n">
        <v>1</v>
      </c>
    </row>
    <row r="305" customFormat="false" ht="15" hidden="false" customHeight="false" outlineLevel="0" collapsed="false">
      <c r="A305" s="12" t="s">
        <v>28</v>
      </c>
      <c r="B305" s="7" t="s">
        <v>29</v>
      </c>
      <c r="C305" s="12" t="s">
        <v>97</v>
      </c>
      <c r="D305" s="7" t="s">
        <v>31</v>
      </c>
      <c r="E305" s="7" t="s">
        <v>32</v>
      </c>
      <c r="F305" s="12" t="n">
        <f aca="false">IF(D305=E305,1,0)</f>
        <v>0</v>
      </c>
      <c r="G305" s="13" t="n">
        <v>-0.103139013452915</v>
      </c>
      <c r="H305" s="14" t="n">
        <v>0.323223768460779</v>
      </c>
      <c r="I305" s="14" t="n">
        <v>0.323786659245283</v>
      </c>
      <c r="J305" s="14" t="n">
        <v>0.352989572293938</v>
      </c>
      <c r="K305" s="12" t="s">
        <v>86</v>
      </c>
      <c r="L305" s="15" t="n">
        <v>1071</v>
      </c>
      <c r="M305" s="15" t="n">
        <v>1</v>
      </c>
    </row>
    <row r="306" customFormat="false" ht="15" hidden="false" customHeight="false" outlineLevel="0" collapsed="false">
      <c r="A306" s="12" t="s">
        <v>34</v>
      </c>
      <c r="B306" s="7" t="s">
        <v>35</v>
      </c>
      <c r="C306" s="12" t="s">
        <v>97</v>
      </c>
      <c r="D306" s="7" t="s">
        <v>31</v>
      </c>
      <c r="E306" s="7" t="s">
        <v>32</v>
      </c>
      <c r="F306" s="12" t="n">
        <f aca="false">IF(D306=E306,1,0)</f>
        <v>0</v>
      </c>
      <c r="G306" s="13" t="n">
        <v>-0.0483271375464684</v>
      </c>
      <c r="H306" s="14" t="n">
        <v>0.323223768460779</v>
      </c>
      <c r="I306" s="14" t="n">
        <v>0.323786659245283</v>
      </c>
      <c r="J306" s="14" t="n">
        <v>0.352989572293938</v>
      </c>
      <c r="K306" s="12" t="s">
        <v>86</v>
      </c>
      <c r="L306" s="15" t="n">
        <v>1071</v>
      </c>
      <c r="M306" s="15" t="n">
        <v>1</v>
      </c>
    </row>
    <row r="307" customFormat="false" ht="15" hidden="false" customHeight="false" outlineLevel="0" collapsed="false">
      <c r="A307" s="12" t="s">
        <v>36</v>
      </c>
      <c r="B307" s="7" t="s">
        <v>37</v>
      </c>
      <c r="C307" s="12" t="s">
        <v>97</v>
      </c>
      <c r="D307" s="7" t="s">
        <v>40</v>
      </c>
      <c r="E307" s="7" t="s">
        <v>40</v>
      </c>
      <c r="F307" s="12" t="n">
        <f aca="false">IF(D307=E307,1,0)</f>
        <v>1</v>
      </c>
      <c r="G307" s="13" t="n">
        <v>-0.0041666666666666</v>
      </c>
      <c r="H307" s="14" t="n">
        <v>0.322951443552489</v>
      </c>
      <c r="I307" s="14" t="n">
        <v>0.341546565609247</v>
      </c>
      <c r="J307" s="14" t="n">
        <v>0.335501990838263</v>
      </c>
      <c r="K307" s="12" t="s">
        <v>86</v>
      </c>
      <c r="L307" s="15" t="n">
        <v>1071</v>
      </c>
      <c r="M307" s="15" t="n">
        <v>1</v>
      </c>
    </row>
    <row r="308" customFormat="false" ht="15" hidden="false" customHeight="false" outlineLevel="0" collapsed="false">
      <c r="A308" s="12" t="s">
        <v>38</v>
      </c>
      <c r="B308" s="7" t="s">
        <v>39</v>
      </c>
      <c r="C308" s="12" t="s">
        <v>97</v>
      </c>
      <c r="D308" s="7" t="s">
        <v>31</v>
      </c>
      <c r="E308" s="7" t="s">
        <v>32</v>
      </c>
      <c r="F308" s="12" t="n">
        <f aca="false">IF(D308=E308,1,0)</f>
        <v>0</v>
      </c>
      <c r="G308" s="13" t="n">
        <v>-0.0603070175438597</v>
      </c>
      <c r="H308" s="14" t="n">
        <v>0.330989806187546</v>
      </c>
      <c r="I308" s="14" t="n">
        <v>0.320071192752903</v>
      </c>
      <c r="J308" s="14" t="n">
        <v>0.348939001059551</v>
      </c>
      <c r="K308" s="12" t="s">
        <v>86</v>
      </c>
      <c r="L308" s="15" t="n">
        <v>1071</v>
      </c>
      <c r="M308" s="15" t="n">
        <v>1</v>
      </c>
    </row>
    <row r="309" customFormat="false" ht="15" hidden="false" customHeight="false" outlineLevel="0" collapsed="false">
      <c r="A309" s="12" t="s">
        <v>41</v>
      </c>
      <c r="B309" s="7" t="s">
        <v>42</v>
      </c>
      <c r="C309" s="12" t="s">
        <v>97</v>
      </c>
      <c r="D309" s="7" t="s">
        <v>31</v>
      </c>
      <c r="E309" s="7" t="s">
        <v>32</v>
      </c>
      <c r="F309" s="12" t="n">
        <f aca="false">IF(D309=E309,1,0)</f>
        <v>0</v>
      </c>
      <c r="G309" s="13" t="n">
        <v>-0.154195011337869</v>
      </c>
      <c r="H309" s="14" t="n">
        <v>0.33340019840314</v>
      </c>
      <c r="I309" s="14" t="n">
        <v>0.327656505038869</v>
      </c>
      <c r="J309" s="14" t="n">
        <v>0.338943296557992</v>
      </c>
      <c r="K309" s="12" t="s">
        <v>86</v>
      </c>
      <c r="L309" s="15" t="n">
        <v>1071</v>
      </c>
      <c r="M309" s="15" t="n">
        <v>1</v>
      </c>
    </row>
    <row r="310" customFormat="false" ht="15" hidden="false" customHeight="false" outlineLevel="0" collapsed="false">
      <c r="A310" s="12" t="s">
        <v>43</v>
      </c>
      <c r="B310" s="7" t="s">
        <v>44</v>
      </c>
      <c r="C310" s="12" t="s">
        <v>97</v>
      </c>
      <c r="D310" s="7" t="s">
        <v>31</v>
      </c>
      <c r="E310" s="7" t="s">
        <v>40</v>
      </c>
      <c r="F310" s="12" t="n">
        <f aca="false">IF(D310=E310,1,0)</f>
        <v>0</v>
      </c>
      <c r="G310" s="13" t="n">
        <v>0.004566210045662</v>
      </c>
      <c r="H310" s="14" t="n">
        <v>0.328997744834621</v>
      </c>
      <c r="I310" s="14" t="n">
        <v>0.329669180498494</v>
      </c>
      <c r="J310" s="14" t="n">
        <v>0.341333074666885</v>
      </c>
      <c r="K310" s="12" t="s">
        <v>86</v>
      </c>
      <c r="L310" s="15" t="n">
        <v>1071</v>
      </c>
      <c r="M310" s="15" t="n">
        <v>1</v>
      </c>
    </row>
    <row r="311" customFormat="false" ht="15" hidden="false" customHeight="false" outlineLevel="0" collapsed="false">
      <c r="A311" s="12" t="s">
        <v>28</v>
      </c>
      <c r="B311" s="7" t="s">
        <v>29</v>
      </c>
      <c r="C311" s="12" t="s">
        <v>98</v>
      </c>
      <c r="D311" s="7" t="s">
        <v>31</v>
      </c>
      <c r="E311" s="7" t="s">
        <v>32</v>
      </c>
      <c r="F311" s="12" t="n">
        <f aca="false">IF(D311=E311,1,0)</f>
        <v>0</v>
      </c>
      <c r="G311" s="13" t="n">
        <v>-0.0812064965197215</v>
      </c>
      <c r="H311" s="14" t="n">
        <v>0.327419826157524</v>
      </c>
      <c r="I311" s="14" t="n">
        <v>0.321779160399557</v>
      </c>
      <c r="J311" s="14" t="n">
        <v>0.350801013442919</v>
      </c>
      <c r="K311" s="12" t="s">
        <v>86</v>
      </c>
      <c r="L311" s="15" t="n">
        <v>1071</v>
      </c>
      <c r="M311" s="15" t="n">
        <v>1</v>
      </c>
    </row>
    <row r="312" customFormat="false" ht="15" hidden="false" customHeight="false" outlineLevel="0" collapsed="false">
      <c r="A312" s="12" t="s">
        <v>34</v>
      </c>
      <c r="B312" s="7" t="s">
        <v>35</v>
      </c>
      <c r="C312" s="12" t="s">
        <v>98</v>
      </c>
      <c r="D312" s="7" t="s">
        <v>31</v>
      </c>
      <c r="E312" s="7" t="s">
        <v>32</v>
      </c>
      <c r="F312" s="12" t="n">
        <f aca="false">IF(D312=E312,1,0)</f>
        <v>0</v>
      </c>
      <c r="G312" s="13" t="n">
        <v>-0.0533088235294118</v>
      </c>
      <c r="H312" s="14" t="n">
        <v>0.337582848580575</v>
      </c>
      <c r="I312" s="14" t="n">
        <v>0.316916916536899</v>
      </c>
      <c r="J312" s="14" t="n">
        <v>0.345500234882526</v>
      </c>
      <c r="K312" s="12" t="s">
        <v>86</v>
      </c>
      <c r="L312" s="15" t="n">
        <v>1071</v>
      </c>
      <c r="M312" s="15" t="n">
        <v>1</v>
      </c>
    </row>
    <row r="313" customFormat="false" ht="15" hidden="false" customHeight="false" outlineLevel="0" collapsed="false">
      <c r="A313" s="12" t="s">
        <v>36</v>
      </c>
      <c r="B313" s="7" t="s">
        <v>37</v>
      </c>
      <c r="C313" s="12" t="s">
        <v>98</v>
      </c>
      <c r="D313" s="7" t="s">
        <v>40</v>
      </c>
      <c r="E313" s="7" t="s">
        <v>40</v>
      </c>
      <c r="F313" s="12" t="n">
        <f aca="false">IF(D313=E313,1,0)</f>
        <v>1</v>
      </c>
      <c r="G313" s="13" t="n">
        <v>0.0020964360587001</v>
      </c>
      <c r="H313" s="14" t="n">
        <v>0.322951443552489</v>
      </c>
      <c r="I313" s="14" t="n">
        <v>0.341546565609247</v>
      </c>
      <c r="J313" s="14" t="n">
        <v>0.335501990838263</v>
      </c>
      <c r="K313" s="12" t="s">
        <v>86</v>
      </c>
      <c r="L313" s="15" t="n">
        <v>1071</v>
      </c>
      <c r="M313" s="15" t="n">
        <v>1</v>
      </c>
    </row>
    <row r="314" customFormat="false" ht="15" hidden="false" customHeight="false" outlineLevel="0" collapsed="false">
      <c r="A314" s="12" t="s">
        <v>38</v>
      </c>
      <c r="B314" s="7" t="s">
        <v>39</v>
      </c>
      <c r="C314" s="12" t="s">
        <v>98</v>
      </c>
      <c r="D314" s="7" t="s">
        <v>31</v>
      </c>
      <c r="E314" s="7" t="s">
        <v>32</v>
      </c>
      <c r="F314" s="12" t="n">
        <f aca="false">IF(D314=E314,1,0)</f>
        <v>0</v>
      </c>
      <c r="G314" s="13" t="n">
        <v>-0.0336322869955156</v>
      </c>
      <c r="H314" s="14" t="n">
        <v>0.330989806187546</v>
      </c>
      <c r="I314" s="14" t="n">
        <v>0.320071192752903</v>
      </c>
      <c r="J314" s="14" t="n">
        <v>0.348939001059551</v>
      </c>
      <c r="K314" s="12" t="s">
        <v>86</v>
      </c>
      <c r="L314" s="15" t="n">
        <v>1071</v>
      </c>
      <c r="M314" s="15" t="n">
        <v>1</v>
      </c>
    </row>
    <row r="315" customFormat="false" ht="15" hidden="false" customHeight="false" outlineLevel="0" collapsed="false">
      <c r="A315" s="12" t="s">
        <v>41</v>
      </c>
      <c r="B315" s="7" t="s">
        <v>42</v>
      </c>
      <c r="C315" s="12" t="s">
        <v>98</v>
      </c>
      <c r="D315" s="7" t="s">
        <v>31</v>
      </c>
      <c r="E315" s="7" t="s">
        <v>32</v>
      </c>
      <c r="F315" s="12" t="n">
        <f aca="false">IF(D315=E315,1,0)</f>
        <v>0</v>
      </c>
      <c r="G315" s="13" t="n">
        <v>-0.0463917525773195</v>
      </c>
      <c r="H315" s="14" t="n">
        <v>0.334407925108922</v>
      </c>
      <c r="I315" s="14" t="n">
        <v>0.318435879255061</v>
      </c>
      <c r="J315" s="14" t="n">
        <v>0.347156195636018</v>
      </c>
      <c r="K315" s="12" t="s">
        <v>86</v>
      </c>
      <c r="L315" s="15" t="n">
        <v>1071</v>
      </c>
      <c r="M315" s="15" t="n">
        <v>1</v>
      </c>
    </row>
    <row r="316" customFormat="false" ht="15" hidden="false" customHeight="false" outlineLevel="0" collapsed="false">
      <c r="A316" s="12" t="s">
        <v>43</v>
      </c>
      <c r="B316" s="7" t="s">
        <v>44</v>
      </c>
      <c r="C316" s="12" t="s">
        <v>98</v>
      </c>
      <c r="D316" s="7" t="s">
        <v>32</v>
      </c>
      <c r="E316" s="7" t="s">
        <v>32</v>
      </c>
      <c r="F316" s="12" t="n">
        <f aca="false">IF(D316=E316,1,0)</f>
        <v>1</v>
      </c>
      <c r="G316" s="13" t="n">
        <v>-0.0176211453744493</v>
      </c>
      <c r="H316" s="14" t="n">
        <v>0.345331440470347</v>
      </c>
      <c r="I316" s="14" t="n">
        <v>0.321644295316231</v>
      </c>
      <c r="J316" s="14" t="n">
        <v>0.333024264213422</v>
      </c>
      <c r="K316" s="12" t="s">
        <v>86</v>
      </c>
      <c r="L316" s="15" t="n">
        <v>1071</v>
      </c>
      <c r="M316" s="15" t="n">
        <v>1</v>
      </c>
    </row>
    <row r="317" customFormat="false" ht="15" hidden="false" customHeight="false" outlineLevel="0" collapsed="false">
      <c r="A317" s="12" t="s">
        <v>28</v>
      </c>
      <c r="B317" s="7" t="s">
        <v>29</v>
      </c>
      <c r="C317" s="12" t="s">
        <v>99</v>
      </c>
      <c r="D317" s="7" t="s">
        <v>31</v>
      </c>
      <c r="E317" s="7" t="s">
        <v>32</v>
      </c>
      <c r="F317" s="12" t="n">
        <f aca="false">IF(D317=E317,1,0)</f>
        <v>0</v>
      </c>
      <c r="G317" s="13" t="n">
        <v>-0.158139534883721</v>
      </c>
      <c r="H317" s="14" t="n">
        <v>0.337582848580575</v>
      </c>
      <c r="I317" s="14" t="n">
        <v>0.316916916536899</v>
      </c>
      <c r="J317" s="14" t="n">
        <v>0.345500234882526</v>
      </c>
      <c r="K317" s="12" t="s">
        <v>86</v>
      </c>
      <c r="L317" s="15" t="n">
        <v>1071</v>
      </c>
      <c r="M317" s="15" t="n">
        <v>1</v>
      </c>
    </row>
    <row r="318" customFormat="false" ht="15" hidden="false" customHeight="false" outlineLevel="0" collapsed="false">
      <c r="A318" s="12" t="s">
        <v>34</v>
      </c>
      <c r="B318" s="7" t="s">
        <v>35</v>
      </c>
      <c r="C318" s="12" t="s">
        <v>99</v>
      </c>
      <c r="D318" s="7" t="s">
        <v>32</v>
      </c>
      <c r="E318" s="7" t="s">
        <v>32</v>
      </c>
      <c r="F318" s="12" t="n">
        <f aca="false">IF(D318=E318,1,0)</f>
        <v>1</v>
      </c>
      <c r="G318" s="13" t="n">
        <v>-0.074487895716946</v>
      </c>
      <c r="H318" s="14" t="n">
        <v>0.345540829666928</v>
      </c>
      <c r="I318" s="14" t="n">
        <v>0.323198506576051</v>
      </c>
      <c r="J318" s="14" t="n">
        <v>0.331260663757021</v>
      </c>
      <c r="K318" s="12" t="s">
        <v>86</v>
      </c>
      <c r="L318" s="15" t="n">
        <v>1071</v>
      </c>
      <c r="M318" s="15" t="n">
        <v>1</v>
      </c>
    </row>
    <row r="319" customFormat="false" ht="15" hidden="false" customHeight="false" outlineLevel="0" collapsed="false">
      <c r="A319" s="12" t="s">
        <v>36</v>
      </c>
      <c r="B319" s="7" t="s">
        <v>37</v>
      </c>
      <c r="C319" s="12" t="s">
        <v>99</v>
      </c>
      <c r="D319" s="7" t="s">
        <v>31</v>
      </c>
      <c r="E319" s="7" t="s">
        <v>32</v>
      </c>
      <c r="F319" s="12" t="n">
        <f aca="false">IF(D319=E319,1,0)</f>
        <v>0</v>
      </c>
      <c r="G319" s="13" t="n">
        <v>-0.0290456431535269</v>
      </c>
      <c r="H319" s="14" t="n">
        <v>0.330106206012869</v>
      </c>
      <c r="I319" s="14" t="n">
        <v>0.326360113736781</v>
      </c>
      <c r="J319" s="14" t="n">
        <v>0.343533680250349</v>
      </c>
      <c r="K319" s="12" t="s">
        <v>86</v>
      </c>
      <c r="L319" s="15" t="n">
        <v>1071</v>
      </c>
      <c r="M319" s="15" t="n">
        <v>1</v>
      </c>
    </row>
    <row r="320" customFormat="false" ht="15" hidden="false" customHeight="false" outlineLevel="0" collapsed="false">
      <c r="A320" s="12" t="s">
        <v>38</v>
      </c>
      <c r="B320" s="7" t="s">
        <v>39</v>
      </c>
      <c r="C320" s="12" t="s">
        <v>99</v>
      </c>
      <c r="D320" s="7" t="s">
        <v>31</v>
      </c>
      <c r="E320" s="7" t="s">
        <v>32</v>
      </c>
      <c r="F320" s="12" t="n">
        <f aca="false">IF(D320=E320,1,0)</f>
        <v>0</v>
      </c>
      <c r="G320" s="13" t="n">
        <v>-0.116173120728929</v>
      </c>
      <c r="H320" s="14" t="n">
        <v>0.334407925108922</v>
      </c>
      <c r="I320" s="14" t="n">
        <v>0.318435879255061</v>
      </c>
      <c r="J320" s="14" t="n">
        <v>0.347156195636018</v>
      </c>
      <c r="K320" s="12" t="s">
        <v>86</v>
      </c>
      <c r="L320" s="15" t="n">
        <v>1071</v>
      </c>
      <c r="M320" s="15" t="n">
        <v>1</v>
      </c>
    </row>
    <row r="321" customFormat="false" ht="15" hidden="false" customHeight="false" outlineLevel="0" collapsed="false">
      <c r="A321" s="12" t="s">
        <v>41</v>
      </c>
      <c r="B321" s="7" t="s">
        <v>42</v>
      </c>
      <c r="C321" s="12" t="s">
        <v>99</v>
      </c>
      <c r="D321" s="7" t="s">
        <v>40</v>
      </c>
      <c r="E321" s="7" t="s">
        <v>32</v>
      </c>
      <c r="F321" s="12" t="n">
        <f aca="false">IF(D321=E321,1,0)</f>
        <v>0</v>
      </c>
      <c r="G321" s="13" t="n">
        <v>-0.0621761658031088</v>
      </c>
      <c r="H321" s="14" t="n">
        <v>0.324328627047983</v>
      </c>
      <c r="I321" s="14" t="n">
        <v>0.339586318802202</v>
      </c>
      <c r="J321" s="14" t="n">
        <v>0.336085054149814</v>
      </c>
      <c r="K321" s="12" t="s">
        <v>86</v>
      </c>
      <c r="L321" s="15" t="n">
        <v>1071</v>
      </c>
      <c r="M321" s="15" t="n">
        <v>1</v>
      </c>
    </row>
    <row r="322" customFormat="false" ht="15" hidden="false" customHeight="false" outlineLevel="0" collapsed="false">
      <c r="A322" s="12" t="s">
        <v>43</v>
      </c>
      <c r="B322" s="7" t="s">
        <v>44</v>
      </c>
      <c r="C322" s="12" t="s">
        <v>99</v>
      </c>
      <c r="D322" s="7" t="s">
        <v>32</v>
      </c>
      <c r="E322" s="7" t="s">
        <v>32</v>
      </c>
      <c r="F322" s="12" t="n">
        <f aca="false">IF(D322=E322,1,0)</f>
        <v>1</v>
      </c>
      <c r="G322" s="13" t="n">
        <v>-0.0822510822510822</v>
      </c>
      <c r="H322" s="14" t="n">
        <v>0.349501483577198</v>
      </c>
      <c r="I322" s="14" t="n">
        <v>0.325528304761518</v>
      </c>
      <c r="J322" s="14" t="n">
        <v>0.324970211661283</v>
      </c>
      <c r="K322" s="12" t="s">
        <v>86</v>
      </c>
      <c r="L322" s="15" t="n">
        <v>1071</v>
      </c>
      <c r="M322" s="15" t="n">
        <v>1</v>
      </c>
    </row>
    <row r="323" customFormat="false" ht="15" hidden="false" customHeight="false" outlineLevel="0" collapsed="false">
      <c r="A323" s="12" t="s">
        <v>28</v>
      </c>
      <c r="B323" s="7" t="s">
        <v>29</v>
      </c>
      <c r="C323" s="12" t="s">
        <v>100</v>
      </c>
      <c r="D323" s="7" t="s">
        <v>31</v>
      </c>
      <c r="E323" s="7" t="s">
        <v>32</v>
      </c>
      <c r="F323" s="12" t="n">
        <f aca="false">IF(D323=E323,1,0)</f>
        <v>0</v>
      </c>
      <c r="G323" s="13" t="n">
        <v>-0.113953488372093</v>
      </c>
      <c r="H323" s="14" t="n">
        <v>0.337582848580575</v>
      </c>
      <c r="I323" s="14" t="n">
        <v>0.316916916536899</v>
      </c>
      <c r="J323" s="14" t="n">
        <v>0.345500234882526</v>
      </c>
      <c r="K323" s="12" t="s">
        <v>86</v>
      </c>
      <c r="L323" s="15" t="n">
        <v>1071</v>
      </c>
      <c r="M323" s="15" t="n">
        <v>1</v>
      </c>
    </row>
    <row r="324" customFormat="false" ht="15" hidden="false" customHeight="false" outlineLevel="0" collapsed="false">
      <c r="A324" s="12" t="s">
        <v>34</v>
      </c>
      <c r="B324" s="7" t="s">
        <v>35</v>
      </c>
      <c r="C324" s="12" t="s">
        <v>100</v>
      </c>
      <c r="D324" s="7" t="s">
        <v>32</v>
      </c>
      <c r="E324" s="7" t="s">
        <v>32</v>
      </c>
      <c r="F324" s="12" t="n">
        <f aca="false">IF(D324=E324,1,0)</f>
        <v>1</v>
      </c>
      <c r="G324" s="13" t="n">
        <v>-0.0819366852886406</v>
      </c>
      <c r="H324" s="14" t="n">
        <v>0.346639457222022</v>
      </c>
      <c r="I324" s="14" t="n">
        <v>0.32541910347263</v>
      </c>
      <c r="J324" s="14" t="n">
        <v>0.327941439305348</v>
      </c>
      <c r="K324" s="12" t="s">
        <v>86</v>
      </c>
      <c r="L324" s="15" t="n">
        <v>1071</v>
      </c>
      <c r="M324" s="15" t="n">
        <v>1</v>
      </c>
    </row>
    <row r="325" customFormat="false" ht="15" hidden="false" customHeight="false" outlineLevel="0" collapsed="false">
      <c r="A325" s="12" t="s">
        <v>36</v>
      </c>
      <c r="B325" s="7" t="s">
        <v>37</v>
      </c>
      <c r="C325" s="12" t="s">
        <v>100</v>
      </c>
      <c r="D325" s="7" t="s">
        <v>40</v>
      </c>
      <c r="E325" s="7" t="s">
        <v>32</v>
      </c>
      <c r="F325" s="12" t="n">
        <f aca="false">IF(D325=E325,1,0)</f>
        <v>0</v>
      </c>
      <c r="G325" s="13" t="n">
        <v>-0.0557768924302788</v>
      </c>
      <c r="H325" s="14" t="n">
        <v>0.336802772719677</v>
      </c>
      <c r="I325" s="14" t="n">
        <v>0.33889293622004</v>
      </c>
      <c r="J325" s="14" t="n">
        <v>0.324304291060283</v>
      </c>
      <c r="K325" s="12" t="s">
        <v>86</v>
      </c>
      <c r="L325" s="15" t="n">
        <v>1071</v>
      </c>
      <c r="M325" s="15" t="n">
        <v>1</v>
      </c>
    </row>
    <row r="326" customFormat="false" ht="15" hidden="false" customHeight="false" outlineLevel="0" collapsed="false">
      <c r="A326" s="12" t="s">
        <v>38</v>
      </c>
      <c r="B326" s="7" t="s">
        <v>39</v>
      </c>
      <c r="C326" s="12" t="s">
        <v>100</v>
      </c>
      <c r="D326" s="7" t="s">
        <v>31</v>
      </c>
      <c r="E326" s="7" t="s">
        <v>32</v>
      </c>
      <c r="F326" s="12" t="n">
        <f aca="false">IF(D326=E326,1,0)</f>
        <v>0</v>
      </c>
      <c r="G326" s="13" t="n">
        <v>-0.124300111982083</v>
      </c>
      <c r="H326" s="14" t="n">
        <v>0.334407925108922</v>
      </c>
      <c r="I326" s="14" t="n">
        <v>0.318435879255061</v>
      </c>
      <c r="J326" s="14" t="n">
        <v>0.347156195636018</v>
      </c>
      <c r="K326" s="12" t="s">
        <v>86</v>
      </c>
      <c r="L326" s="15" t="n">
        <v>1071</v>
      </c>
      <c r="M326" s="15" t="n">
        <v>1</v>
      </c>
    </row>
    <row r="327" customFormat="false" ht="15" hidden="false" customHeight="false" outlineLevel="0" collapsed="false">
      <c r="A327" s="12" t="s">
        <v>41</v>
      </c>
      <c r="B327" s="7" t="s">
        <v>42</v>
      </c>
      <c r="C327" s="12" t="s">
        <v>100</v>
      </c>
      <c r="D327" s="7" t="s">
        <v>40</v>
      </c>
      <c r="E327" s="7" t="s">
        <v>32</v>
      </c>
      <c r="F327" s="12" t="n">
        <f aca="false">IF(D327=E327,1,0)</f>
        <v>0</v>
      </c>
      <c r="G327" s="13" t="n">
        <v>-0.0466321243523316</v>
      </c>
      <c r="H327" s="14" t="n">
        <v>0.325332986921438</v>
      </c>
      <c r="I327" s="14" t="n">
        <v>0.340637927706675</v>
      </c>
      <c r="J327" s="14" t="n">
        <v>0.334029085371887</v>
      </c>
      <c r="K327" s="12" t="s">
        <v>86</v>
      </c>
      <c r="L327" s="15" t="n">
        <v>1071</v>
      </c>
      <c r="M327" s="15" t="n">
        <v>1</v>
      </c>
    </row>
    <row r="328" customFormat="false" ht="15" hidden="false" customHeight="false" outlineLevel="0" collapsed="false">
      <c r="A328" s="12" t="s">
        <v>43</v>
      </c>
      <c r="B328" s="7" t="s">
        <v>44</v>
      </c>
      <c r="C328" s="12" t="s">
        <v>100</v>
      </c>
      <c r="D328" s="7" t="s">
        <v>40</v>
      </c>
      <c r="E328" s="7" t="s">
        <v>32</v>
      </c>
      <c r="F328" s="12" t="n">
        <f aca="false">IF(D328=E328,1,0)</f>
        <v>0</v>
      </c>
      <c r="G328" s="13" t="n">
        <v>-0.101769911504425</v>
      </c>
      <c r="H328" s="14" t="n">
        <v>0.335959592517435</v>
      </c>
      <c r="I328" s="14" t="n">
        <v>0.336645236281192</v>
      </c>
      <c r="J328" s="14" t="n">
        <v>0.327395171201373</v>
      </c>
      <c r="K328" s="12" t="s">
        <v>86</v>
      </c>
      <c r="L328" s="15" t="n">
        <v>1071</v>
      </c>
      <c r="M328" s="15" t="n">
        <v>1</v>
      </c>
    </row>
    <row r="329" customFormat="false" ht="15" hidden="false" customHeight="false" outlineLevel="0" collapsed="false">
      <c r="A329" s="12" t="s">
        <v>28</v>
      </c>
      <c r="B329" s="7" t="s">
        <v>29</v>
      </c>
      <c r="C329" s="12" t="s">
        <v>101</v>
      </c>
      <c r="D329" s="7" t="s">
        <v>31</v>
      </c>
      <c r="E329" s="7" t="s">
        <v>32</v>
      </c>
      <c r="F329" s="12" t="n">
        <f aca="false">IF(D329=E329,1,0)</f>
        <v>0</v>
      </c>
      <c r="G329" s="13" t="n">
        <v>-0.0625</v>
      </c>
      <c r="H329" s="14" t="n">
        <v>0.32272354105357</v>
      </c>
      <c r="I329" s="14" t="n">
        <v>0.331507094298935</v>
      </c>
      <c r="J329" s="14" t="n">
        <v>0.345769364647494</v>
      </c>
      <c r="K329" s="12" t="s">
        <v>86</v>
      </c>
      <c r="L329" s="15" t="n">
        <v>1071</v>
      </c>
      <c r="M329" s="15" t="n">
        <v>1</v>
      </c>
    </row>
    <row r="330" customFormat="false" ht="15" hidden="false" customHeight="false" outlineLevel="0" collapsed="false">
      <c r="A330" s="12" t="s">
        <v>34</v>
      </c>
      <c r="B330" s="7" t="s">
        <v>35</v>
      </c>
      <c r="C330" s="12" t="s">
        <v>101</v>
      </c>
      <c r="D330" s="7" t="s">
        <v>32</v>
      </c>
      <c r="E330" s="7" t="s">
        <v>32</v>
      </c>
      <c r="F330" s="12" t="n">
        <f aca="false">IF(D330=E330,1,0)</f>
        <v>1</v>
      </c>
      <c r="G330" s="13" t="n">
        <v>-0.0327552986512523</v>
      </c>
      <c r="H330" s="14" t="n">
        <v>0.336342221994397</v>
      </c>
      <c r="I330" s="14" t="n">
        <v>0.330547844552973</v>
      </c>
      <c r="J330" s="14" t="n">
        <v>0.33310993345263</v>
      </c>
      <c r="K330" s="12" t="s">
        <v>86</v>
      </c>
      <c r="L330" s="15" t="n">
        <v>1071</v>
      </c>
      <c r="M330" s="15" t="n">
        <v>1</v>
      </c>
    </row>
    <row r="331" customFormat="false" ht="15" hidden="false" customHeight="false" outlineLevel="0" collapsed="false">
      <c r="A331" s="12" t="s">
        <v>36</v>
      </c>
      <c r="B331" s="7" t="s">
        <v>37</v>
      </c>
      <c r="C331" s="12" t="s">
        <v>101</v>
      </c>
      <c r="D331" s="7" t="s">
        <v>40</v>
      </c>
      <c r="E331" s="7" t="s">
        <v>32</v>
      </c>
      <c r="F331" s="12" t="n">
        <f aca="false">IF(D331=E331,1,0)</f>
        <v>0</v>
      </c>
      <c r="G331" s="13" t="n">
        <v>-0.0321285140562248</v>
      </c>
      <c r="H331" s="14" t="n">
        <v>0.336802772719677</v>
      </c>
      <c r="I331" s="14" t="n">
        <v>0.33889293622004</v>
      </c>
      <c r="J331" s="14" t="n">
        <v>0.324304291060283</v>
      </c>
      <c r="K331" s="12" t="s">
        <v>86</v>
      </c>
      <c r="L331" s="15" t="n">
        <v>1071</v>
      </c>
      <c r="M331" s="15" t="n">
        <v>1</v>
      </c>
    </row>
    <row r="332" customFormat="false" ht="15" hidden="false" customHeight="false" outlineLevel="0" collapsed="false">
      <c r="A332" s="12" t="s">
        <v>38</v>
      </c>
      <c r="B332" s="7" t="s">
        <v>39</v>
      </c>
      <c r="C332" s="12" t="s">
        <v>101</v>
      </c>
      <c r="D332" s="7" t="s">
        <v>31</v>
      </c>
      <c r="E332" s="7" t="s">
        <v>32</v>
      </c>
      <c r="F332" s="12" t="n">
        <f aca="false">IF(D332=E332,1,0)</f>
        <v>0</v>
      </c>
      <c r="G332" s="13" t="n">
        <v>-0.063947078280044</v>
      </c>
      <c r="H332" s="14" t="n">
        <v>0.337582848580575</v>
      </c>
      <c r="I332" s="14" t="n">
        <v>0.316916916536899</v>
      </c>
      <c r="J332" s="14" t="n">
        <v>0.345500234882526</v>
      </c>
      <c r="K332" s="12" t="s">
        <v>86</v>
      </c>
      <c r="L332" s="15" t="n">
        <v>1071</v>
      </c>
      <c r="M332" s="15" t="n">
        <v>1</v>
      </c>
    </row>
    <row r="333" customFormat="false" ht="15" hidden="false" customHeight="false" outlineLevel="0" collapsed="false">
      <c r="A333" s="12" t="s">
        <v>41</v>
      </c>
      <c r="B333" s="7" t="s">
        <v>42</v>
      </c>
      <c r="C333" s="12" t="s">
        <v>101</v>
      </c>
      <c r="D333" s="7" t="s">
        <v>40</v>
      </c>
      <c r="E333" s="7" t="s">
        <v>32</v>
      </c>
      <c r="F333" s="12" t="n">
        <f aca="false">IF(D333=E333,1,0)</f>
        <v>0</v>
      </c>
      <c r="G333" s="13" t="n">
        <v>-0.0238095238095238</v>
      </c>
      <c r="H333" s="14" t="n">
        <v>0.327166254747819</v>
      </c>
      <c r="I333" s="14" t="n">
        <v>0.342557439648023</v>
      </c>
      <c r="J333" s="14" t="n">
        <v>0.330276305604158</v>
      </c>
      <c r="K333" s="12" t="s">
        <v>86</v>
      </c>
      <c r="L333" s="15" t="n">
        <v>1071</v>
      </c>
      <c r="M333" s="15" t="n">
        <v>1</v>
      </c>
    </row>
    <row r="334" customFormat="false" ht="15" hidden="false" customHeight="false" outlineLevel="0" collapsed="false">
      <c r="A334" s="12" t="s">
        <v>43</v>
      </c>
      <c r="B334" s="7" t="s">
        <v>44</v>
      </c>
      <c r="C334" s="12" t="s">
        <v>101</v>
      </c>
      <c r="D334" s="7" t="s">
        <v>40</v>
      </c>
      <c r="E334" s="7" t="s">
        <v>32</v>
      </c>
      <c r="F334" s="12" t="n">
        <f aca="false">IF(D334=E334,1,0)</f>
        <v>0</v>
      </c>
      <c r="G334" s="13" t="n">
        <v>-0.133920704845815</v>
      </c>
      <c r="H334" s="14" t="n">
        <v>0.335959592517435</v>
      </c>
      <c r="I334" s="14" t="n">
        <v>0.336645236281192</v>
      </c>
      <c r="J334" s="14" t="n">
        <v>0.327395171201373</v>
      </c>
      <c r="K334" s="12" t="s">
        <v>86</v>
      </c>
      <c r="L334" s="15" t="n">
        <v>1071</v>
      </c>
      <c r="M334" s="15" t="n">
        <v>1</v>
      </c>
    </row>
    <row r="335" customFormat="false" ht="15" hidden="false" customHeight="false" outlineLevel="0" collapsed="false">
      <c r="A335" s="12" t="s">
        <v>28</v>
      </c>
      <c r="B335" s="7" t="s">
        <v>29</v>
      </c>
      <c r="C335" s="12" t="s">
        <v>102</v>
      </c>
      <c r="D335" s="7" t="s">
        <v>31</v>
      </c>
      <c r="E335" s="7" t="s">
        <v>40</v>
      </c>
      <c r="F335" s="12" t="n">
        <f aca="false">IF(D335=E335,1,0)</f>
        <v>0</v>
      </c>
      <c r="G335" s="13" t="n">
        <v>-0.005</v>
      </c>
      <c r="H335" s="14" t="n">
        <v>0.32272354105357</v>
      </c>
      <c r="I335" s="14" t="n">
        <v>0.331507094298935</v>
      </c>
      <c r="J335" s="14" t="n">
        <v>0.345769364647494</v>
      </c>
      <c r="K335" s="12" t="s">
        <v>86</v>
      </c>
      <c r="L335" s="15" t="n">
        <v>1071</v>
      </c>
      <c r="M335" s="15" t="n">
        <v>1</v>
      </c>
    </row>
    <row r="336" customFormat="false" ht="15" hidden="false" customHeight="false" outlineLevel="0" collapsed="false">
      <c r="A336" s="12" t="s">
        <v>34</v>
      </c>
      <c r="B336" s="7" t="s">
        <v>35</v>
      </c>
      <c r="C336" s="12" t="s">
        <v>102</v>
      </c>
      <c r="D336" s="7" t="s">
        <v>32</v>
      </c>
      <c r="E336" s="7" t="s">
        <v>32</v>
      </c>
      <c r="F336" s="12" t="n">
        <f aca="false">IF(D336=E336,1,0)</f>
        <v>1</v>
      </c>
      <c r="G336" s="13" t="n">
        <v>-0.03125</v>
      </c>
      <c r="H336" s="14" t="n">
        <v>0.336342221994397</v>
      </c>
      <c r="I336" s="14" t="n">
        <v>0.330547844552973</v>
      </c>
      <c r="J336" s="14" t="n">
        <v>0.33310993345263</v>
      </c>
      <c r="K336" s="12" t="s">
        <v>86</v>
      </c>
      <c r="L336" s="15" t="n">
        <v>1071</v>
      </c>
      <c r="M336" s="15" t="n">
        <v>1</v>
      </c>
    </row>
    <row r="337" customFormat="false" ht="15" hidden="false" customHeight="false" outlineLevel="0" collapsed="false">
      <c r="A337" s="12" t="s">
        <v>36</v>
      </c>
      <c r="B337" s="7" t="s">
        <v>37</v>
      </c>
      <c r="C337" s="12" t="s">
        <v>102</v>
      </c>
      <c r="D337" s="7" t="s">
        <v>40</v>
      </c>
      <c r="E337" s="7" t="s">
        <v>31</v>
      </c>
      <c r="F337" s="12" t="n">
        <f aca="false">IF(D337=E337,1,0)</f>
        <v>0</v>
      </c>
      <c r="G337" s="13" t="n">
        <v>0.0481171548117154</v>
      </c>
      <c r="H337" s="14" t="n">
        <v>0.325772077128721</v>
      </c>
      <c r="I337" s="14" t="n">
        <v>0.344529607580532</v>
      </c>
      <c r="J337" s="14" t="n">
        <v>0.329698315290747</v>
      </c>
      <c r="K337" s="12" t="s">
        <v>86</v>
      </c>
      <c r="L337" s="15" t="n">
        <v>1071</v>
      </c>
      <c r="M337" s="15" t="n">
        <v>1</v>
      </c>
    </row>
    <row r="338" customFormat="false" ht="15" hidden="false" customHeight="false" outlineLevel="0" collapsed="false">
      <c r="A338" s="12" t="s">
        <v>38</v>
      </c>
      <c r="B338" s="7" t="s">
        <v>39</v>
      </c>
      <c r="C338" s="12" t="s">
        <v>102</v>
      </c>
      <c r="D338" s="7" t="s">
        <v>31</v>
      </c>
      <c r="E338" s="7" t="s">
        <v>40</v>
      </c>
      <c r="F338" s="12" t="n">
        <f aca="false">IF(D338=E338,1,0)</f>
        <v>0</v>
      </c>
      <c r="G338" s="13" t="n">
        <v>0.0116686114352391</v>
      </c>
      <c r="H338" s="14" t="n">
        <v>0.334407925108922</v>
      </c>
      <c r="I338" s="14" t="n">
        <v>0.318435879255061</v>
      </c>
      <c r="J338" s="14" t="n">
        <v>0.347156195636018</v>
      </c>
      <c r="K338" s="12" t="s">
        <v>86</v>
      </c>
      <c r="L338" s="15" t="n">
        <v>1071</v>
      </c>
      <c r="M338" s="15" t="n">
        <v>1</v>
      </c>
    </row>
    <row r="339" customFormat="false" ht="15" hidden="false" customHeight="false" outlineLevel="0" collapsed="false">
      <c r="A339" s="12" t="s">
        <v>41</v>
      </c>
      <c r="B339" s="7" t="s">
        <v>42</v>
      </c>
      <c r="C339" s="12" t="s">
        <v>102</v>
      </c>
      <c r="D339" s="7" t="s">
        <v>40</v>
      </c>
      <c r="E339" s="7" t="s">
        <v>40</v>
      </c>
      <c r="F339" s="12" t="n">
        <f aca="false">IF(D339=E339,1,0)</f>
        <v>1</v>
      </c>
      <c r="G339" s="13" t="n">
        <v>-0.0053619302949061</v>
      </c>
      <c r="H339" s="14" t="n">
        <v>0.32370414975993</v>
      </c>
      <c r="I339" s="14" t="n">
        <v>0.338932463651161</v>
      </c>
      <c r="J339" s="14" t="n">
        <v>0.337363386588909</v>
      </c>
      <c r="K339" s="12" t="s">
        <v>86</v>
      </c>
      <c r="L339" s="15" t="n">
        <v>1071</v>
      </c>
      <c r="M339" s="15" t="n">
        <v>1</v>
      </c>
    </row>
    <row r="340" customFormat="false" ht="15" hidden="false" customHeight="false" outlineLevel="0" collapsed="false">
      <c r="A340" s="12" t="s">
        <v>43</v>
      </c>
      <c r="B340" s="7" t="s">
        <v>44</v>
      </c>
      <c r="C340" s="12" t="s">
        <v>102</v>
      </c>
      <c r="D340" s="7" t="s">
        <v>32</v>
      </c>
      <c r="E340" s="7" t="s">
        <v>32</v>
      </c>
      <c r="F340" s="12" t="n">
        <f aca="false">IF(D340=E340,1,0)</f>
        <v>1</v>
      </c>
      <c r="G340" s="13" t="n">
        <v>-0.136363636363636</v>
      </c>
      <c r="H340" s="14" t="n">
        <v>0.339960313249508</v>
      </c>
      <c r="I340" s="14" t="n">
        <v>0.328745782849776</v>
      </c>
      <c r="J340" s="14" t="n">
        <v>0.331293903900717</v>
      </c>
      <c r="K340" s="12" t="s">
        <v>86</v>
      </c>
      <c r="L340" s="15" t="n">
        <v>1071</v>
      </c>
      <c r="M340" s="15" t="n">
        <v>1</v>
      </c>
    </row>
    <row r="341" customFormat="false" ht="15" hidden="false" customHeight="false" outlineLevel="0" collapsed="false">
      <c r="A341" s="12" t="s">
        <v>28</v>
      </c>
      <c r="B341" s="7" t="s">
        <v>29</v>
      </c>
      <c r="C341" s="12" t="s">
        <v>103</v>
      </c>
      <c r="D341" s="7" t="s">
        <v>31</v>
      </c>
      <c r="E341" s="7" t="s">
        <v>40</v>
      </c>
      <c r="F341" s="12" t="n">
        <f aca="false">IF(D341=E341,1,0)</f>
        <v>0</v>
      </c>
      <c r="G341" s="13" t="n">
        <v>-0.005050505050505</v>
      </c>
      <c r="H341" s="14" t="n">
        <v>0.333628962876957</v>
      </c>
      <c r="I341" s="14" t="n">
        <v>0.326169208044334</v>
      </c>
      <c r="J341" s="14" t="n">
        <v>0.340201829078709</v>
      </c>
      <c r="K341" s="12" t="s">
        <v>86</v>
      </c>
      <c r="L341" s="15" t="n">
        <v>1071</v>
      </c>
      <c r="M341" s="15" t="n">
        <v>1</v>
      </c>
    </row>
    <row r="342" customFormat="false" ht="15" hidden="false" customHeight="false" outlineLevel="0" collapsed="false">
      <c r="A342" s="12" t="s">
        <v>34</v>
      </c>
      <c r="B342" s="7" t="s">
        <v>35</v>
      </c>
      <c r="C342" s="12" t="s">
        <v>103</v>
      </c>
      <c r="D342" s="7" t="s">
        <v>32</v>
      </c>
      <c r="E342" s="7" t="s">
        <v>32</v>
      </c>
      <c r="F342" s="12" t="n">
        <f aca="false">IF(D342=E342,1,0)</f>
        <v>1</v>
      </c>
      <c r="G342" s="13" t="n">
        <v>-0.0718446601941747</v>
      </c>
      <c r="H342" s="14" t="n">
        <v>0.341612072186628</v>
      </c>
      <c r="I342" s="14" t="n">
        <v>0.335202692252578</v>
      </c>
      <c r="J342" s="14" t="n">
        <v>0.323185235560795</v>
      </c>
      <c r="K342" s="12" t="s">
        <v>86</v>
      </c>
      <c r="L342" s="15" t="n">
        <v>1071</v>
      </c>
      <c r="M342" s="15" t="n">
        <v>1</v>
      </c>
    </row>
    <row r="343" customFormat="false" ht="15" hidden="false" customHeight="false" outlineLevel="0" collapsed="false">
      <c r="A343" s="12" t="s">
        <v>36</v>
      </c>
      <c r="B343" s="7" t="s">
        <v>37</v>
      </c>
      <c r="C343" s="12" t="s">
        <v>103</v>
      </c>
      <c r="D343" s="7" t="s">
        <v>31</v>
      </c>
      <c r="E343" s="7" t="s">
        <v>31</v>
      </c>
      <c r="F343" s="12" t="n">
        <f aca="false">IF(D343=E343,1,0)</f>
        <v>1</v>
      </c>
      <c r="G343" s="13" t="n">
        <v>0.0313807531380754</v>
      </c>
      <c r="H343" s="14" t="n">
        <v>0.334619536331827</v>
      </c>
      <c r="I343" s="14" t="n">
        <v>0.316889105411444</v>
      </c>
      <c r="J343" s="14" t="n">
        <v>0.34849135825673</v>
      </c>
      <c r="K343" s="12" t="s">
        <v>86</v>
      </c>
      <c r="L343" s="15" t="n">
        <v>1071</v>
      </c>
      <c r="M343" s="15" t="n">
        <v>1</v>
      </c>
    </row>
    <row r="344" customFormat="false" ht="15" hidden="false" customHeight="false" outlineLevel="0" collapsed="false">
      <c r="A344" s="12" t="s">
        <v>38</v>
      </c>
      <c r="B344" s="7" t="s">
        <v>39</v>
      </c>
      <c r="C344" s="12" t="s">
        <v>103</v>
      </c>
      <c r="D344" s="7" t="s">
        <v>31</v>
      </c>
      <c r="E344" s="7" t="s">
        <v>40</v>
      </c>
      <c r="F344" s="12" t="n">
        <f aca="false">IF(D344=E344,1,0)</f>
        <v>0</v>
      </c>
      <c r="G344" s="13" t="n">
        <v>0.0081206496519721</v>
      </c>
      <c r="H344" s="14" t="n">
        <v>0.334407925108922</v>
      </c>
      <c r="I344" s="14" t="n">
        <v>0.318435879255061</v>
      </c>
      <c r="J344" s="14" t="n">
        <v>0.347156195636018</v>
      </c>
      <c r="K344" s="12" t="s">
        <v>86</v>
      </c>
      <c r="L344" s="15" t="n">
        <v>1071</v>
      </c>
      <c r="M344" s="15" t="n">
        <v>1</v>
      </c>
    </row>
    <row r="345" customFormat="false" ht="15" hidden="false" customHeight="false" outlineLevel="0" collapsed="false">
      <c r="A345" s="12" t="s">
        <v>41</v>
      </c>
      <c r="B345" s="7" t="s">
        <v>42</v>
      </c>
      <c r="C345" s="12" t="s">
        <v>103</v>
      </c>
      <c r="D345" s="7" t="s">
        <v>32</v>
      </c>
      <c r="E345" s="7" t="s">
        <v>40</v>
      </c>
      <c r="F345" s="12" t="n">
        <f aca="false">IF(D345=E345,1,0)</f>
        <v>0</v>
      </c>
      <c r="G345" s="13" t="n">
        <v>0.0027027027027026</v>
      </c>
      <c r="H345" s="14" t="n">
        <v>0.338896296181463</v>
      </c>
      <c r="I345" s="14" t="n">
        <v>0.331318766756567</v>
      </c>
      <c r="J345" s="14" t="n">
        <v>0.32978493706197</v>
      </c>
      <c r="K345" s="12" t="s">
        <v>86</v>
      </c>
      <c r="L345" s="15" t="n">
        <v>1071</v>
      </c>
      <c r="M345" s="15" t="n">
        <v>1</v>
      </c>
    </row>
    <row r="346" customFormat="false" ht="15" hidden="false" customHeight="false" outlineLevel="0" collapsed="false">
      <c r="A346" s="12" t="s">
        <v>43</v>
      </c>
      <c r="B346" s="7" t="s">
        <v>44</v>
      </c>
      <c r="C346" s="12" t="s">
        <v>103</v>
      </c>
      <c r="D346" s="7" t="s">
        <v>32</v>
      </c>
      <c r="E346" s="7" t="s">
        <v>32</v>
      </c>
      <c r="F346" s="12" t="n">
        <f aca="false">IF(D346=E346,1,0)</f>
        <v>1</v>
      </c>
      <c r="G346" s="13" t="n">
        <v>-0.161434977578475</v>
      </c>
      <c r="H346" s="14" t="n">
        <v>0.356549065081997</v>
      </c>
      <c r="I346" s="14" t="n">
        <v>0.320483427847274</v>
      </c>
      <c r="J346" s="14" t="n">
        <v>0.322967507070729</v>
      </c>
      <c r="K346" s="12" t="s">
        <v>86</v>
      </c>
      <c r="L346" s="15" t="n">
        <v>1071</v>
      </c>
      <c r="M346" s="15" t="n">
        <v>1</v>
      </c>
    </row>
    <row r="347" customFormat="false" ht="15" hidden="false" customHeight="false" outlineLevel="0" collapsed="false">
      <c r="A347" s="12" t="s">
        <v>28</v>
      </c>
      <c r="B347" s="7" t="s">
        <v>29</v>
      </c>
      <c r="C347" s="12" t="s">
        <v>104</v>
      </c>
      <c r="D347" s="7" t="s">
        <v>31</v>
      </c>
      <c r="E347" s="7" t="s">
        <v>31</v>
      </c>
      <c r="F347" s="12" t="n">
        <f aca="false">IF(D347=E347,1,0)</f>
        <v>1</v>
      </c>
      <c r="G347" s="13" t="n">
        <v>0.146408839779006</v>
      </c>
      <c r="H347" s="14" t="n">
        <v>0.318559162681071</v>
      </c>
      <c r="I347" s="14" t="n">
        <v>0.33354543618369</v>
      </c>
      <c r="J347" s="14" t="n">
        <v>0.34789540113524</v>
      </c>
      <c r="K347" s="12" t="s">
        <v>86</v>
      </c>
      <c r="L347" s="15" t="n">
        <v>1071</v>
      </c>
      <c r="M347" s="15" t="n">
        <v>1</v>
      </c>
    </row>
    <row r="348" customFormat="false" ht="15" hidden="false" customHeight="false" outlineLevel="0" collapsed="false">
      <c r="A348" s="12" t="s">
        <v>34</v>
      </c>
      <c r="B348" s="7" t="s">
        <v>35</v>
      </c>
      <c r="C348" s="12" t="s">
        <v>104</v>
      </c>
      <c r="D348" s="7" t="s">
        <v>32</v>
      </c>
      <c r="E348" s="7" t="s">
        <v>32</v>
      </c>
      <c r="F348" s="12" t="n">
        <f aca="false">IF(D348=E348,1,0)</f>
        <v>1</v>
      </c>
      <c r="G348" s="13" t="n">
        <v>-0.0321931589537223</v>
      </c>
      <c r="H348" s="14" t="n">
        <v>0.342438612399622</v>
      </c>
      <c r="I348" s="14" t="n">
        <v>0.334781878788438</v>
      </c>
      <c r="J348" s="14" t="n">
        <v>0.32277950881194</v>
      </c>
      <c r="K348" s="12" t="s">
        <v>86</v>
      </c>
      <c r="L348" s="15" t="n">
        <v>1071</v>
      </c>
      <c r="M348" s="15" t="n">
        <v>1</v>
      </c>
    </row>
    <row r="349" customFormat="false" ht="15" hidden="false" customHeight="false" outlineLevel="0" collapsed="false">
      <c r="A349" s="12" t="s">
        <v>36</v>
      </c>
      <c r="B349" s="7" t="s">
        <v>37</v>
      </c>
      <c r="C349" s="12" t="s">
        <v>104</v>
      </c>
      <c r="D349" s="7" t="s">
        <v>40</v>
      </c>
      <c r="E349" s="7" t="s">
        <v>31</v>
      </c>
      <c r="F349" s="12" t="n">
        <f aca="false">IF(D349=E349,1,0)</f>
        <v>0</v>
      </c>
      <c r="G349" s="13" t="n">
        <v>0.0448717948717949</v>
      </c>
      <c r="H349" s="14" t="n">
        <v>0.325772077128721</v>
      </c>
      <c r="I349" s="14" t="n">
        <v>0.344529607580532</v>
      </c>
      <c r="J349" s="14" t="n">
        <v>0.329698315290747</v>
      </c>
      <c r="K349" s="12" t="s">
        <v>86</v>
      </c>
      <c r="L349" s="15" t="n">
        <v>1071</v>
      </c>
      <c r="M349" s="15" t="n">
        <v>1</v>
      </c>
    </row>
    <row r="350" customFormat="false" ht="15" hidden="false" customHeight="false" outlineLevel="0" collapsed="false">
      <c r="A350" s="12" t="s">
        <v>38</v>
      </c>
      <c r="B350" s="7" t="s">
        <v>39</v>
      </c>
      <c r="C350" s="12" t="s">
        <v>104</v>
      </c>
      <c r="D350" s="7" t="s">
        <v>31</v>
      </c>
      <c r="E350" s="7" t="s">
        <v>31</v>
      </c>
      <c r="F350" s="12" t="n">
        <f aca="false">IF(D350=E350,1,0)</f>
        <v>1</v>
      </c>
      <c r="G350" s="13" t="n">
        <v>0.0811855670103092</v>
      </c>
      <c r="H350" s="14" t="n">
        <v>0.334407925108922</v>
      </c>
      <c r="I350" s="14" t="n">
        <v>0.318435879255061</v>
      </c>
      <c r="J350" s="14" t="n">
        <v>0.347156195636018</v>
      </c>
      <c r="K350" s="12" t="s">
        <v>86</v>
      </c>
      <c r="L350" s="15" t="n">
        <v>1071</v>
      </c>
      <c r="M350" s="15" t="n">
        <v>1</v>
      </c>
    </row>
    <row r="351" customFormat="false" ht="15" hidden="false" customHeight="false" outlineLevel="0" collapsed="false">
      <c r="A351" s="12" t="s">
        <v>41</v>
      </c>
      <c r="B351" s="7" t="s">
        <v>42</v>
      </c>
      <c r="C351" s="12" t="s">
        <v>104</v>
      </c>
      <c r="D351" s="7" t="s">
        <v>32</v>
      </c>
      <c r="E351" s="7" t="s">
        <v>31</v>
      </c>
      <c r="F351" s="12" t="n">
        <f aca="false">IF(D351=E351,1,0)</f>
        <v>0</v>
      </c>
      <c r="G351" s="13" t="n">
        <v>0.0773480662983425</v>
      </c>
      <c r="H351" s="14" t="n">
        <v>0.338896296181463</v>
      </c>
      <c r="I351" s="14" t="n">
        <v>0.331318766756567</v>
      </c>
      <c r="J351" s="14" t="n">
        <v>0.32978493706197</v>
      </c>
      <c r="K351" s="12" t="s">
        <v>86</v>
      </c>
      <c r="L351" s="15" t="n">
        <v>1071</v>
      </c>
      <c r="M351" s="15" t="n">
        <v>1</v>
      </c>
    </row>
    <row r="352" customFormat="false" ht="15" hidden="false" customHeight="false" outlineLevel="0" collapsed="false">
      <c r="A352" s="12" t="s">
        <v>43</v>
      </c>
      <c r="B352" s="7" t="s">
        <v>44</v>
      </c>
      <c r="C352" s="12" t="s">
        <v>104</v>
      </c>
      <c r="D352" s="7" t="s">
        <v>32</v>
      </c>
      <c r="E352" s="7" t="s">
        <v>32</v>
      </c>
      <c r="F352" s="12" t="n">
        <f aca="false">IF(D352=E352,1,0)</f>
        <v>1</v>
      </c>
      <c r="G352" s="13" t="n">
        <v>-0.116981132075472</v>
      </c>
      <c r="H352" s="14" t="n">
        <v>0.347471741699115</v>
      </c>
      <c r="I352" s="14" t="n">
        <v>0.325004567775053</v>
      </c>
      <c r="J352" s="14" t="n">
        <v>0.327523690525832</v>
      </c>
      <c r="K352" s="12" t="s">
        <v>86</v>
      </c>
      <c r="L352" s="15" t="n">
        <v>1071</v>
      </c>
      <c r="M352" s="15" t="n">
        <v>1</v>
      </c>
    </row>
    <row r="353" customFormat="false" ht="15" hidden="false" customHeight="false" outlineLevel="0" collapsed="false">
      <c r="A353" s="12" t="s">
        <v>28</v>
      </c>
      <c r="B353" s="7" t="s">
        <v>29</v>
      </c>
      <c r="C353" s="12" t="s">
        <v>105</v>
      </c>
      <c r="D353" s="7" t="s">
        <v>31</v>
      </c>
      <c r="E353" s="7" t="s">
        <v>31</v>
      </c>
      <c r="F353" s="12" t="n">
        <f aca="false">IF(D353=E353,1,0)</f>
        <v>1</v>
      </c>
      <c r="G353" s="13" t="n">
        <v>0.0472440944881888</v>
      </c>
      <c r="H353" s="14" t="n">
        <v>0.318559162681071</v>
      </c>
      <c r="I353" s="14" t="n">
        <v>0.33354543618369</v>
      </c>
      <c r="J353" s="14" t="n">
        <v>0.34789540113524</v>
      </c>
      <c r="K353" s="12" t="s">
        <v>86</v>
      </c>
      <c r="L353" s="15" t="n">
        <v>1071</v>
      </c>
      <c r="M353" s="15" t="n">
        <v>1</v>
      </c>
    </row>
    <row r="354" customFormat="false" ht="15" hidden="false" customHeight="false" outlineLevel="0" collapsed="false">
      <c r="A354" s="12" t="s">
        <v>34</v>
      </c>
      <c r="B354" s="7" t="s">
        <v>35</v>
      </c>
      <c r="C354" s="12" t="s">
        <v>105</v>
      </c>
      <c r="D354" s="7" t="s">
        <v>40</v>
      </c>
      <c r="E354" s="7" t="s">
        <v>32</v>
      </c>
      <c r="F354" s="12" t="n">
        <f aca="false">IF(D354=E354,1,0)</f>
        <v>0</v>
      </c>
      <c r="G354" s="13" t="n">
        <v>-0.0182555780933062</v>
      </c>
      <c r="H354" s="14" t="n">
        <v>0.331388432268643</v>
      </c>
      <c r="I354" s="14" t="n">
        <v>0.340407817499195</v>
      </c>
      <c r="J354" s="14" t="n">
        <v>0.328203750232162</v>
      </c>
      <c r="K354" s="12" t="s">
        <v>86</v>
      </c>
      <c r="L354" s="15" t="n">
        <v>1071</v>
      </c>
      <c r="M354" s="15" t="n">
        <v>1</v>
      </c>
    </row>
    <row r="355" customFormat="false" ht="15" hidden="false" customHeight="false" outlineLevel="0" collapsed="false">
      <c r="A355" s="12" t="s">
        <v>36</v>
      </c>
      <c r="B355" s="7" t="s">
        <v>37</v>
      </c>
      <c r="C355" s="12" t="s">
        <v>105</v>
      </c>
      <c r="D355" s="7" t="s">
        <v>40</v>
      </c>
      <c r="E355" s="7" t="s">
        <v>31</v>
      </c>
      <c r="F355" s="12" t="n">
        <f aca="false">IF(D355=E355,1,0)</f>
        <v>0</v>
      </c>
      <c r="G355" s="13" t="n">
        <v>0.0379746835443037</v>
      </c>
      <c r="H355" s="14" t="n">
        <v>0.328388080252972</v>
      </c>
      <c r="I355" s="14" t="n">
        <v>0.33926607299667</v>
      </c>
      <c r="J355" s="14" t="n">
        <v>0.332345846750358</v>
      </c>
      <c r="K355" s="12" t="s">
        <v>86</v>
      </c>
      <c r="L355" s="15" t="n">
        <v>1071</v>
      </c>
      <c r="M355" s="15" t="n">
        <v>1</v>
      </c>
    </row>
    <row r="356" customFormat="false" ht="15" hidden="false" customHeight="false" outlineLevel="0" collapsed="false">
      <c r="A356" s="12" t="s">
        <v>38</v>
      </c>
      <c r="B356" s="7" t="s">
        <v>39</v>
      </c>
      <c r="C356" s="12" t="s">
        <v>105</v>
      </c>
      <c r="D356" s="7" t="s">
        <v>31</v>
      </c>
      <c r="E356" s="7" t="s">
        <v>31</v>
      </c>
      <c r="F356" s="12" t="n">
        <f aca="false">IF(D356=E356,1,0)</f>
        <v>1</v>
      </c>
      <c r="G356" s="13" t="n">
        <v>0.0549872122762147</v>
      </c>
      <c r="H356" s="14" t="n">
        <v>0.323223768460779</v>
      </c>
      <c r="I356" s="14" t="n">
        <v>0.323786659245283</v>
      </c>
      <c r="J356" s="14" t="n">
        <v>0.352989572293938</v>
      </c>
      <c r="K356" s="12" t="s">
        <v>86</v>
      </c>
      <c r="L356" s="15" t="n">
        <v>1071</v>
      </c>
      <c r="M356" s="15" t="n">
        <v>1</v>
      </c>
    </row>
    <row r="357" customFormat="false" ht="15" hidden="false" customHeight="false" outlineLevel="0" collapsed="false">
      <c r="A357" s="12" t="s">
        <v>41</v>
      </c>
      <c r="B357" s="7" t="s">
        <v>42</v>
      </c>
      <c r="C357" s="12" t="s">
        <v>105</v>
      </c>
      <c r="D357" s="7" t="s">
        <v>32</v>
      </c>
      <c r="E357" s="7" t="s">
        <v>31</v>
      </c>
      <c r="F357" s="12" t="n">
        <f aca="false">IF(D357=E357,1,0)</f>
        <v>0</v>
      </c>
      <c r="G357" s="13" t="n">
        <v>0.0625</v>
      </c>
      <c r="H357" s="14" t="n">
        <v>0.338073910156247</v>
      </c>
      <c r="I357" s="14" t="n">
        <v>0.331730913779944</v>
      </c>
      <c r="J357" s="14" t="n">
        <v>0.330195176063809</v>
      </c>
      <c r="K357" s="12" t="s">
        <v>86</v>
      </c>
      <c r="L357" s="15" t="n">
        <v>1071</v>
      </c>
      <c r="M357" s="15" t="n">
        <v>1</v>
      </c>
    </row>
    <row r="358" customFormat="false" ht="15" hidden="false" customHeight="false" outlineLevel="0" collapsed="false">
      <c r="A358" s="12" t="s">
        <v>43</v>
      </c>
      <c r="B358" s="7" t="s">
        <v>44</v>
      </c>
      <c r="C358" s="12" t="s">
        <v>105</v>
      </c>
      <c r="D358" s="7" t="s">
        <v>31</v>
      </c>
      <c r="E358" s="7" t="s">
        <v>32</v>
      </c>
      <c r="F358" s="12" t="n">
        <f aca="false">IF(D358=E358,1,0)</f>
        <v>0</v>
      </c>
      <c r="G358" s="13" t="n">
        <v>-0.0798029556650246</v>
      </c>
      <c r="H358" s="14" t="n">
        <v>0.323223768460779</v>
      </c>
      <c r="I358" s="14" t="n">
        <v>0.323786659245283</v>
      </c>
      <c r="J358" s="14" t="n">
        <v>0.352989572293938</v>
      </c>
      <c r="K358" s="12" t="s">
        <v>86</v>
      </c>
      <c r="L358" s="15" t="n">
        <v>1071</v>
      </c>
      <c r="M358" s="15" t="n">
        <v>1</v>
      </c>
    </row>
    <row r="359" customFormat="false" ht="15" hidden="false" customHeight="false" outlineLevel="0" collapsed="false">
      <c r="A359" s="12" t="s">
        <v>28</v>
      </c>
      <c r="B359" s="7" t="s">
        <v>29</v>
      </c>
      <c r="C359" s="12" t="s">
        <v>106</v>
      </c>
      <c r="D359" s="7" t="s">
        <v>31</v>
      </c>
      <c r="E359" s="7" t="s">
        <v>32</v>
      </c>
      <c r="F359" s="12" t="n">
        <f aca="false">IF(D359=E359,1,0)</f>
        <v>0</v>
      </c>
      <c r="G359" s="13" t="n">
        <v>-0.0307692307692307</v>
      </c>
      <c r="H359" s="14" t="n">
        <v>0.323223768460779</v>
      </c>
      <c r="I359" s="14" t="n">
        <v>0.323786659245283</v>
      </c>
      <c r="J359" s="14" t="n">
        <v>0.352989572293938</v>
      </c>
      <c r="K359" s="12" t="s">
        <v>86</v>
      </c>
      <c r="L359" s="15" t="n">
        <v>1071</v>
      </c>
      <c r="M359" s="15" t="n">
        <v>1</v>
      </c>
    </row>
    <row r="360" customFormat="false" ht="15" hidden="false" customHeight="false" outlineLevel="0" collapsed="false">
      <c r="A360" s="12" t="s">
        <v>34</v>
      </c>
      <c r="B360" s="7" t="s">
        <v>35</v>
      </c>
      <c r="C360" s="12" t="s">
        <v>106</v>
      </c>
      <c r="D360" s="7" t="s">
        <v>32</v>
      </c>
      <c r="E360" s="7" t="s">
        <v>32</v>
      </c>
      <c r="F360" s="12" t="n">
        <f aca="false">IF(D360=E360,1,0)</f>
        <v>1</v>
      </c>
      <c r="G360" s="13" t="n">
        <v>-0.0557768924302788</v>
      </c>
      <c r="H360" s="14" t="n">
        <v>0.341612072186628</v>
      </c>
      <c r="I360" s="14" t="n">
        <v>0.335202692252578</v>
      </c>
      <c r="J360" s="14" t="n">
        <v>0.323185235560795</v>
      </c>
      <c r="K360" s="12" t="s">
        <v>86</v>
      </c>
      <c r="L360" s="15" t="n">
        <v>1071</v>
      </c>
      <c r="M360" s="15" t="n">
        <v>1</v>
      </c>
    </row>
    <row r="361" customFormat="false" ht="15" hidden="false" customHeight="false" outlineLevel="0" collapsed="false">
      <c r="A361" s="12" t="s">
        <v>36</v>
      </c>
      <c r="B361" s="7" t="s">
        <v>37</v>
      </c>
      <c r="C361" s="12" t="s">
        <v>106</v>
      </c>
      <c r="D361" s="7" t="s">
        <v>40</v>
      </c>
      <c r="E361" s="7" t="s">
        <v>31</v>
      </c>
      <c r="F361" s="12" t="n">
        <f aca="false">IF(D361=E361,1,0)</f>
        <v>0</v>
      </c>
      <c r="G361" s="13" t="n">
        <v>0.0124481327800829</v>
      </c>
      <c r="H361" s="14" t="n">
        <v>0.325772077128721</v>
      </c>
      <c r="I361" s="14" t="n">
        <v>0.344529607580532</v>
      </c>
      <c r="J361" s="14" t="n">
        <v>0.329698315290747</v>
      </c>
      <c r="K361" s="12" t="s">
        <v>86</v>
      </c>
      <c r="L361" s="15" t="n">
        <v>1071</v>
      </c>
      <c r="M361" s="15" t="n">
        <v>1</v>
      </c>
    </row>
    <row r="362" customFormat="false" ht="15" hidden="false" customHeight="false" outlineLevel="0" collapsed="false">
      <c r="A362" s="12" t="s">
        <v>38</v>
      </c>
      <c r="B362" s="7" t="s">
        <v>39</v>
      </c>
      <c r="C362" s="12" t="s">
        <v>106</v>
      </c>
      <c r="D362" s="7" t="s">
        <v>31</v>
      </c>
      <c r="E362" s="7" t="s">
        <v>32</v>
      </c>
      <c r="F362" s="12" t="n">
        <f aca="false">IF(D362=E362,1,0)</f>
        <v>0</v>
      </c>
      <c r="G362" s="13" t="n">
        <v>-0.0506478209658421</v>
      </c>
      <c r="H362" s="14" t="n">
        <v>0.330989806187546</v>
      </c>
      <c r="I362" s="14" t="n">
        <v>0.320071192752903</v>
      </c>
      <c r="J362" s="14" t="n">
        <v>0.348939001059551</v>
      </c>
      <c r="K362" s="12" t="s">
        <v>86</v>
      </c>
      <c r="L362" s="15" t="n">
        <v>1071</v>
      </c>
      <c r="M362" s="15" t="n">
        <v>1</v>
      </c>
    </row>
    <row r="363" customFormat="false" ht="15" hidden="false" customHeight="false" outlineLevel="0" collapsed="false">
      <c r="A363" s="12" t="s">
        <v>41</v>
      </c>
      <c r="B363" s="7" t="s">
        <v>42</v>
      </c>
      <c r="C363" s="12" t="s">
        <v>106</v>
      </c>
      <c r="D363" s="7" t="s">
        <v>32</v>
      </c>
      <c r="E363" s="7" t="s">
        <v>31</v>
      </c>
      <c r="F363" s="12" t="n">
        <f aca="false">IF(D363=E363,1,0)</f>
        <v>0</v>
      </c>
      <c r="G363" s="13" t="n">
        <v>0.018970189701897</v>
      </c>
      <c r="H363" s="14" t="n">
        <v>0.338073910156247</v>
      </c>
      <c r="I363" s="14" t="n">
        <v>0.331730913779944</v>
      </c>
      <c r="J363" s="14" t="n">
        <v>0.330195176063809</v>
      </c>
      <c r="K363" s="12" t="s">
        <v>86</v>
      </c>
      <c r="L363" s="15" t="n">
        <v>1071</v>
      </c>
      <c r="M363" s="15" t="n">
        <v>1</v>
      </c>
    </row>
    <row r="364" customFormat="false" ht="15" hidden="false" customHeight="false" outlineLevel="0" collapsed="false">
      <c r="A364" s="12" t="s">
        <v>43</v>
      </c>
      <c r="B364" s="7" t="s">
        <v>44</v>
      </c>
      <c r="C364" s="12" t="s">
        <v>106</v>
      </c>
      <c r="D364" s="7" t="s">
        <v>31</v>
      </c>
      <c r="E364" s="7" t="s">
        <v>32</v>
      </c>
      <c r="F364" s="12" t="n">
        <f aca="false">IF(D364=E364,1,0)</f>
        <v>0</v>
      </c>
      <c r="G364" s="13" t="n">
        <v>-0.0132248219735503</v>
      </c>
      <c r="H364" s="14" t="n">
        <v>0.327419826157524</v>
      </c>
      <c r="I364" s="14" t="n">
        <v>0.321779160399557</v>
      </c>
      <c r="J364" s="14" t="n">
        <v>0.350801013442919</v>
      </c>
      <c r="K364" s="12" t="s">
        <v>86</v>
      </c>
      <c r="L364" s="15" t="n">
        <v>1071</v>
      </c>
      <c r="M364" s="15" t="n">
        <v>1</v>
      </c>
    </row>
    <row r="365" customFormat="false" ht="15" hidden="false" customHeight="false" outlineLevel="0" collapsed="false">
      <c r="A365" s="12" t="s">
        <v>28</v>
      </c>
      <c r="B365" s="7" t="s">
        <v>29</v>
      </c>
      <c r="C365" s="12" t="s">
        <v>107</v>
      </c>
      <c r="D365" s="7" t="s">
        <v>31</v>
      </c>
      <c r="E365" s="7" t="s">
        <v>32</v>
      </c>
      <c r="F365" s="12" t="n">
        <f aca="false">IF(D365=E365,1,0)</f>
        <v>0</v>
      </c>
      <c r="G365" s="13" t="n">
        <v>-0.0527638190954773</v>
      </c>
      <c r="H365" s="14" t="n">
        <v>0.238553687846921</v>
      </c>
      <c r="I365" s="14" t="n">
        <v>0.188088225674882</v>
      </c>
      <c r="J365" s="14" t="n">
        <v>0.573358086478198</v>
      </c>
      <c r="K365" s="12" t="s">
        <v>108</v>
      </c>
      <c r="L365" s="15" t="n">
        <v>1196</v>
      </c>
      <c r="M365" s="15" t="n">
        <v>32</v>
      </c>
    </row>
    <row r="366" customFormat="false" ht="15" hidden="false" customHeight="false" outlineLevel="0" collapsed="false">
      <c r="A366" s="12" t="s">
        <v>34</v>
      </c>
      <c r="B366" s="7" t="s">
        <v>35</v>
      </c>
      <c r="C366" s="12" t="s">
        <v>107</v>
      </c>
      <c r="D366" s="7" t="s">
        <v>32</v>
      </c>
      <c r="E366" s="7" t="s">
        <v>32</v>
      </c>
      <c r="F366" s="12" t="n">
        <f aca="false">IF(D366=E366,1,0)</f>
        <v>1</v>
      </c>
      <c r="G366" s="13" t="n">
        <v>-0.0423387096774193</v>
      </c>
      <c r="H366" s="14" t="n">
        <v>0.403772723606901</v>
      </c>
      <c r="I366" s="14" t="n">
        <v>0.254864754235408</v>
      </c>
      <c r="J366" s="14" t="n">
        <v>0.341362522157692</v>
      </c>
      <c r="K366" s="12" t="s">
        <v>108</v>
      </c>
      <c r="L366" s="15" t="n">
        <v>1196</v>
      </c>
      <c r="M366" s="15" t="n">
        <v>32</v>
      </c>
    </row>
    <row r="367" customFormat="false" ht="15" hidden="false" customHeight="false" outlineLevel="0" collapsed="false">
      <c r="A367" s="12" t="s">
        <v>36</v>
      </c>
      <c r="B367" s="7" t="s">
        <v>37</v>
      </c>
      <c r="C367" s="12" t="s">
        <v>107</v>
      </c>
      <c r="D367" s="7" t="s">
        <v>32</v>
      </c>
      <c r="E367" s="7" t="s">
        <v>32</v>
      </c>
      <c r="F367" s="12" t="n">
        <f aca="false">IF(D367=E367,1,0)</f>
        <v>1</v>
      </c>
      <c r="G367" s="13" t="n">
        <v>-0.0159680638722554</v>
      </c>
      <c r="H367" s="14" t="n">
        <v>0.413938691899334</v>
      </c>
      <c r="I367" s="14" t="n">
        <v>0.235112566257506</v>
      </c>
      <c r="J367" s="14" t="n">
        <v>0.35094874184316</v>
      </c>
      <c r="K367" s="12" t="s">
        <v>108</v>
      </c>
      <c r="L367" s="15" t="n">
        <v>1196</v>
      </c>
      <c r="M367" s="15" t="n">
        <v>32</v>
      </c>
    </row>
    <row r="368" customFormat="false" ht="15" hidden="false" customHeight="false" outlineLevel="0" collapsed="false">
      <c r="A368" s="12" t="s">
        <v>38</v>
      </c>
      <c r="B368" s="7" t="s">
        <v>39</v>
      </c>
      <c r="C368" s="12" t="s">
        <v>107</v>
      </c>
      <c r="D368" s="7" t="s">
        <v>31</v>
      </c>
      <c r="E368" s="7" t="s">
        <v>32</v>
      </c>
      <c r="F368" s="12" t="n">
        <f aca="false">IF(D368=E368,1,0)</f>
        <v>0</v>
      </c>
      <c r="G368" s="13" t="n">
        <v>-0.0784313725490196</v>
      </c>
      <c r="H368" s="14" t="n">
        <v>0.262865402484683</v>
      </c>
      <c r="I368" s="14" t="n">
        <v>0.159755553542294</v>
      </c>
      <c r="J368" s="14" t="n">
        <v>0.577379043973023</v>
      </c>
      <c r="K368" s="12" t="s">
        <v>108</v>
      </c>
      <c r="L368" s="15" t="n">
        <v>1196</v>
      </c>
      <c r="M368" s="15" t="n">
        <v>32</v>
      </c>
    </row>
    <row r="369" customFormat="false" ht="15" hidden="false" customHeight="false" outlineLevel="0" collapsed="false">
      <c r="A369" s="12" t="s">
        <v>41</v>
      </c>
      <c r="B369" s="7" t="s">
        <v>42</v>
      </c>
      <c r="C369" s="12" t="s">
        <v>107</v>
      </c>
      <c r="D369" s="7" t="s">
        <v>31</v>
      </c>
      <c r="E369" s="7" t="s">
        <v>31</v>
      </c>
      <c r="F369" s="12" t="n">
        <f aca="false">IF(D369=E369,1,0)</f>
        <v>1</v>
      </c>
      <c r="G369" s="13" t="n">
        <v>0.0566037735849056</v>
      </c>
      <c r="H369" s="14" t="n">
        <v>0.362922151015034</v>
      </c>
      <c r="I369" s="14" t="n">
        <v>0.212258886673245</v>
      </c>
      <c r="J369" s="14" t="n">
        <v>0.42481896231172</v>
      </c>
      <c r="K369" s="12" t="s">
        <v>108</v>
      </c>
      <c r="L369" s="15" t="n">
        <v>1196</v>
      </c>
      <c r="M369" s="15" t="n">
        <v>32</v>
      </c>
    </row>
    <row r="370" customFormat="false" ht="15" hidden="false" customHeight="false" outlineLevel="0" collapsed="false">
      <c r="A370" s="12" t="s">
        <v>43</v>
      </c>
      <c r="B370" s="7" t="s">
        <v>44</v>
      </c>
      <c r="C370" s="12" t="s">
        <v>107</v>
      </c>
      <c r="D370" s="7" t="s">
        <v>31</v>
      </c>
      <c r="E370" s="7" t="s">
        <v>31</v>
      </c>
      <c r="F370" s="12" t="n">
        <f aca="false">IF(D370=E370,1,0)</f>
        <v>1</v>
      </c>
      <c r="G370" s="13" t="n">
        <v>0.0315789473684211</v>
      </c>
      <c r="H370" s="14" t="n">
        <v>0.216786699724082</v>
      </c>
      <c r="I370" s="14" t="n">
        <v>0.179318629474151</v>
      </c>
      <c r="J370" s="14" t="n">
        <v>0.603894670801767</v>
      </c>
      <c r="K370" s="12" t="s">
        <v>108</v>
      </c>
      <c r="L370" s="15" t="n">
        <v>1196</v>
      </c>
      <c r="M370" s="15" t="n">
        <v>32</v>
      </c>
    </row>
    <row r="371" customFormat="false" ht="15" hidden="false" customHeight="false" outlineLevel="0" collapsed="false">
      <c r="A371" s="12" t="s">
        <v>28</v>
      </c>
      <c r="B371" s="7" t="s">
        <v>29</v>
      </c>
      <c r="C371" s="12" t="s">
        <v>109</v>
      </c>
      <c r="D371" s="7" t="s">
        <v>31</v>
      </c>
      <c r="E371" s="7" t="s">
        <v>32</v>
      </c>
      <c r="F371" s="12" t="n">
        <f aca="false">IF(D371=E371,1,0)</f>
        <v>0</v>
      </c>
      <c r="G371" s="13" t="n">
        <v>-0.0456852791878172</v>
      </c>
      <c r="H371" s="14" t="n">
        <v>0.282209393899485</v>
      </c>
      <c r="I371" s="14" t="n">
        <v>0.175728748789006</v>
      </c>
      <c r="J371" s="14" t="n">
        <v>0.542061857311509</v>
      </c>
      <c r="K371" s="12" t="s">
        <v>108</v>
      </c>
      <c r="L371" s="15" t="n">
        <v>1196</v>
      </c>
      <c r="M371" s="15" t="n">
        <v>32</v>
      </c>
    </row>
    <row r="372" customFormat="false" ht="15" hidden="false" customHeight="false" outlineLevel="0" collapsed="false">
      <c r="A372" s="12" t="s">
        <v>34</v>
      </c>
      <c r="B372" s="7" t="s">
        <v>35</v>
      </c>
      <c r="C372" s="12" t="s">
        <v>109</v>
      </c>
      <c r="D372" s="7" t="s">
        <v>31</v>
      </c>
      <c r="E372" s="7" t="s">
        <v>40</v>
      </c>
      <c r="F372" s="12" t="n">
        <f aca="false">IF(D372=E372,1,0)</f>
        <v>0</v>
      </c>
      <c r="G372" s="13" t="n">
        <v>-0.0062761506276151</v>
      </c>
      <c r="H372" s="14" t="n">
        <v>0.318212302317969</v>
      </c>
      <c r="I372" s="14" t="n">
        <v>0.323070049596423</v>
      </c>
      <c r="J372" s="14" t="n">
        <v>0.358717648085609</v>
      </c>
      <c r="K372" s="12" t="s">
        <v>108</v>
      </c>
      <c r="L372" s="15" t="n">
        <v>1196</v>
      </c>
      <c r="M372" s="15" t="n">
        <v>32</v>
      </c>
    </row>
    <row r="373" customFormat="false" ht="15" hidden="false" customHeight="false" outlineLevel="0" collapsed="false">
      <c r="A373" s="12" t="s">
        <v>36</v>
      </c>
      <c r="B373" s="7" t="s">
        <v>37</v>
      </c>
      <c r="C373" s="12" t="s">
        <v>109</v>
      </c>
      <c r="D373" s="7" t="s">
        <v>32</v>
      </c>
      <c r="E373" s="7" t="s">
        <v>32</v>
      </c>
      <c r="F373" s="12" t="n">
        <f aca="false">IF(D373=E373,1,0)</f>
        <v>1</v>
      </c>
      <c r="G373" s="13" t="n">
        <v>-0.0202839756592292</v>
      </c>
      <c r="H373" s="14" t="n">
        <v>0.442258280326315</v>
      </c>
      <c r="I373" s="14" t="n">
        <v>0.275675156410284</v>
      </c>
      <c r="J373" s="14" t="n">
        <v>0.282066563263401</v>
      </c>
      <c r="K373" s="12" t="s">
        <v>108</v>
      </c>
      <c r="L373" s="15" t="n">
        <v>1196</v>
      </c>
      <c r="M373" s="15" t="n">
        <v>32</v>
      </c>
    </row>
    <row r="374" customFormat="false" ht="15" hidden="false" customHeight="false" outlineLevel="0" collapsed="false">
      <c r="A374" s="12" t="s">
        <v>38</v>
      </c>
      <c r="B374" s="7" t="s">
        <v>39</v>
      </c>
      <c r="C374" s="12" t="s">
        <v>109</v>
      </c>
      <c r="D374" s="7" t="s">
        <v>31</v>
      </c>
      <c r="E374" s="7" t="s">
        <v>32</v>
      </c>
      <c r="F374" s="12" t="n">
        <f aca="false">IF(D374=E374,1,0)</f>
        <v>0</v>
      </c>
      <c r="G374" s="13" t="n">
        <v>-0.096662830840046</v>
      </c>
      <c r="H374" s="14" t="n">
        <v>0.287826006698033</v>
      </c>
      <c r="I374" s="14" t="n">
        <v>0.185727839164442</v>
      </c>
      <c r="J374" s="14" t="n">
        <v>0.526446154137525</v>
      </c>
      <c r="K374" s="12" t="s">
        <v>108</v>
      </c>
      <c r="L374" s="15" t="n">
        <v>1196</v>
      </c>
      <c r="M374" s="15" t="n">
        <v>32</v>
      </c>
    </row>
    <row r="375" customFormat="false" ht="15" hidden="false" customHeight="false" outlineLevel="0" collapsed="false">
      <c r="A375" s="12" t="s">
        <v>41</v>
      </c>
      <c r="B375" s="7" t="s">
        <v>42</v>
      </c>
      <c r="C375" s="12" t="s">
        <v>109</v>
      </c>
      <c r="D375" s="7" t="s">
        <v>31</v>
      </c>
      <c r="E375" s="7" t="s">
        <v>31</v>
      </c>
      <c r="F375" s="12" t="n">
        <f aca="false">IF(D375=E375,1,0)</f>
        <v>1</v>
      </c>
      <c r="G375" s="13" t="n">
        <v>0.0485175202156333</v>
      </c>
      <c r="H375" s="14" t="n">
        <v>0.386541897948192</v>
      </c>
      <c r="I375" s="14" t="n">
        <v>0.218326856177934</v>
      </c>
      <c r="J375" s="14" t="n">
        <v>0.395131245873873</v>
      </c>
      <c r="K375" s="12" t="s">
        <v>108</v>
      </c>
      <c r="L375" s="15" t="n">
        <v>1196</v>
      </c>
      <c r="M375" s="15" t="n">
        <v>32</v>
      </c>
    </row>
    <row r="376" customFormat="false" ht="15" hidden="false" customHeight="false" outlineLevel="0" collapsed="false">
      <c r="A376" s="12" t="s">
        <v>43</v>
      </c>
      <c r="B376" s="7" t="s">
        <v>44</v>
      </c>
      <c r="C376" s="12" t="s">
        <v>109</v>
      </c>
      <c r="D376" s="7" t="s">
        <v>31</v>
      </c>
      <c r="E376" s="7" t="s">
        <v>31</v>
      </c>
      <c r="F376" s="12" t="n">
        <f aca="false">IF(D376=E376,1,0)</f>
        <v>1</v>
      </c>
      <c r="G376" s="13" t="n">
        <v>0.0299465240641712</v>
      </c>
      <c r="H376" s="14" t="n">
        <v>0.226368612615253</v>
      </c>
      <c r="I376" s="14" t="n">
        <v>0.221943571997879</v>
      </c>
      <c r="J376" s="14" t="n">
        <v>0.551687815386868</v>
      </c>
      <c r="K376" s="12" t="s">
        <v>108</v>
      </c>
      <c r="L376" s="15" t="n">
        <v>1196</v>
      </c>
      <c r="M376" s="15" t="n">
        <v>32</v>
      </c>
    </row>
    <row r="377" customFormat="false" ht="15" hidden="false" customHeight="false" outlineLevel="0" collapsed="false">
      <c r="A377" s="12" t="s">
        <v>28</v>
      </c>
      <c r="B377" s="7" t="s">
        <v>29</v>
      </c>
      <c r="C377" s="12" t="s">
        <v>110</v>
      </c>
      <c r="D377" s="7" t="s">
        <v>31</v>
      </c>
      <c r="E377" s="7" t="s">
        <v>32</v>
      </c>
      <c r="F377" s="12" t="n">
        <f aca="false">IF(D377=E377,1,0)</f>
        <v>0</v>
      </c>
      <c r="G377" s="13" t="n">
        <v>-0.089156626506024</v>
      </c>
      <c r="H377" s="14" t="n">
        <v>0.213070972886236</v>
      </c>
      <c r="I377" s="14" t="n">
        <v>0.177432229406197</v>
      </c>
      <c r="J377" s="14" t="n">
        <v>0.609496797707567</v>
      </c>
      <c r="K377" s="12" t="s">
        <v>108</v>
      </c>
      <c r="L377" s="15" t="n">
        <v>1196</v>
      </c>
      <c r="M377" s="15" t="n">
        <v>32</v>
      </c>
    </row>
    <row r="378" customFormat="false" ht="15" hidden="false" customHeight="false" outlineLevel="0" collapsed="false">
      <c r="A378" s="12" t="s">
        <v>34</v>
      </c>
      <c r="B378" s="7" t="s">
        <v>35</v>
      </c>
      <c r="C378" s="12" t="s">
        <v>110</v>
      </c>
      <c r="D378" s="7" t="s">
        <v>31</v>
      </c>
      <c r="E378" s="7" t="s">
        <v>32</v>
      </c>
      <c r="F378" s="12" t="n">
        <f aca="false">IF(D378=E378,1,0)</f>
        <v>0</v>
      </c>
      <c r="G378" s="13" t="n">
        <v>-0.0166320166320166</v>
      </c>
      <c r="H378" s="14" t="n">
        <v>0.343262335169621</v>
      </c>
      <c r="I378" s="14" t="n">
        <v>0.296684301258377</v>
      </c>
      <c r="J378" s="14" t="n">
        <v>0.360053363572003</v>
      </c>
      <c r="K378" s="12" t="s">
        <v>108</v>
      </c>
      <c r="L378" s="15" t="n">
        <v>1196</v>
      </c>
      <c r="M378" s="15" t="n">
        <v>32</v>
      </c>
    </row>
    <row r="379" customFormat="false" ht="15" hidden="false" customHeight="false" outlineLevel="0" collapsed="false">
      <c r="A379" s="12" t="s">
        <v>36</v>
      </c>
      <c r="B379" s="7" t="s">
        <v>37</v>
      </c>
      <c r="C379" s="12" t="s">
        <v>110</v>
      </c>
      <c r="D379" s="7" t="s">
        <v>32</v>
      </c>
      <c r="E379" s="7" t="s">
        <v>40</v>
      </c>
      <c r="F379" s="12" t="n">
        <f aca="false">IF(D379=E379,1,0)</f>
        <v>0</v>
      </c>
      <c r="G379" s="13" t="n">
        <v>-0.002044989775051</v>
      </c>
      <c r="H379" s="14" t="n">
        <v>0.44326803189369</v>
      </c>
      <c r="I379" s="14" t="n">
        <v>0.284075788827053</v>
      </c>
      <c r="J379" s="14" t="n">
        <v>0.272656179279257</v>
      </c>
      <c r="K379" s="12" t="s">
        <v>108</v>
      </c>
      <c r="L379" s="15" t="n">
        <v>1196</v>
      </c>
      <c r="M379" s="15" t="n">
        <v>32</v>
      </c>
    </row>
    <row r="380" customFormat="false" ht="15" hidden="false" customHeight="false" outlineLevel="0" collapsed="false">
      <c r="A380" s="12" t="s">
        <v>38</v>
      </c>
      <c r="B380" s="7" t="s">
        <v>39</v>
      </c>
      <c r="C380" s="12" t="s">
        <v>110</v>
      </c>
      <c r="D380" s="7" t="s">
        <v>31</v>
      </c>
      <c r="E380" s="7" t="s">
        <v>32</v>
      </c>
      <c r="F380" s="12" t="n">
        <f aca="false">IF(D380=E380,1,0)</f>
        <v>0</v>
      </c>
      <c r="G380" s="13" t="n">
        <v>-0.0882002383790226</v>
      </c>
      <c r="H380" s="14" t="n">
        <v>0.2843817508318</v>
      </c>
      <c r="I380" s="14" t="n">
        <v>0.218742891591772</v>
      </c>
      <c r="J380" s="14" t="n">
        <v>0.496875357576429</v>
      </c>
      <c r="K380" s="12" t="s">
        <v>108</v>
      </c>
      <c r="L380" s="15" t="n">
        <v>1196</v>
      </c>
      <c r="M380" s="15" t="n">
        <v>32</v>
      </c>
    </row>
    <row r="381" customFormat="false" ht="15" hidden="false" customHeight="false" outlineLevel="0" collapsed="false">
      <c r="A381" s="12" t="s">
        <v>41</v>
      </c>
      <c r="B381" s="7" t="s">
        <v>42</v>
      </c>
      <c r="C381" s="12" t="s">
        <v>110</v>
      </c>
      <c r="D381" s="7" t="s">
        <v>31</v>
      </c>
      <c r="E381" s="7" t="s">
        <v>40</v>
      </c>
      <c r="F381" s="12" t="n">
        <f aca="false">IF(D381=E381,1,0)</f>
        <v>0</v>
      </c>
      <c r="G381" s="13" t="n">
        <v>0</v>
      </c>
      <c r="H381" s="14" t="n">
        <v>0.268002119620725</v>
      </c>
      <c r="I381" s="14" t="n">
        <v>0.194314979675668</v>
      </c>
      <c r="J381" s="14" t="n">
        <v>0.537682900703608</v>
      </c>
      <c r="K381" s="12" t="s">
        <v>108</v>
      </c>
      <c r="L381" s="15" t="n">
        <v>1196</v>
      </c>
      <c r="M381" s="15" t="n">
        <v>32</v>
      </c>
    </row>
    <row r="382" customFormat="false" ht="15" hidden="false" customHeight="false" outlineLevel="0" collapsed="false">
      <c r="A382" s="12" t="s">
        <v>43</v>
      </c>
      <c r="B382" s="7" t="s">
        <v>44</v>
      </c>
      <c r="C382" s="12" t="s">
        <v>110</v>
      </c>
      <c r="D382" s="7" t="s">
        <v>31</v>
      </c>
      <c r="E382" s="7" t="s">
        <v>31</v>
      </c>
      <c r="F382" s="12" t="n">
        <f aca="false">IF(D382=E382,1,0)</f>
        <v>1</v>
      </c>
      <c r="G382" s="13" t="n">
        <v>0.0331196581196582</v>
      </c>
      <c r="H382" s="14" t="n">
        <v>0.297797973631721</v>
      </c>
      <c r="I382" s="14" t="n">
        <v>0.252030251009363</v>
      </c>
      <c r="J382" s="14" t="n">
        <v>0.450171775358916</v>
      </c>
      <c r="K382" s="12" t="s">
        <v>108</v>
      </c>
      <c r="L382" s="15" t="n">
        <v>1196</v>
      </c>
      <c r="M382" s="15" t="n">
        <v>32</v>
      </c>
    </row>
    <row r="383" customFormat="false" ht="15" hidden="false" customHeight="false" outlineLevel="0" collapsed="false">
      <c r="A383" s="12" t="s">
        <v>28</v>
      </c>
      <c r="B383" s="7" t="s">
        <v>29</v>
      </c>
      <c r="C383" s="12" t="s">
        <v>111</v>
      </c>
      <c r="D383" s="7" t="s">
        <v>31</v>
      </c>
      <c r="E383" s="7" t="s">
        <v>32</v>
      </c>
      <c r="F383" s="12" t="n">
        <f aca="false">IF(D383=E383,1,0)</f>
        <v>0</v>
      </c>
      <c r="G383" s="13" t="n">
        <v>-0.0701754385964912</v>
      </c>
      <c r="H383" s="14" t="n">
        <v>0.290560658762252</v>
      </c>
      <c r="I383" s="14" t="n">
        <v>0.144363920084092</v>
      </c>
      <c r="J383" s="14" t="n">
        <v>0.565075421153656</v>
      </c>
      <c r="K383" s="12" t="s">
        <v>108</v>
      </c>
      <c r="L383" s="15" t="n">
        <v>1196</v>
      </c>
      <c r="M383" s="15" t="n">
        <v>32</v>
      </c>
    </row>
    <row r="384" customFormat="false" ht="15" hidden="false" customHeight="false" outlineLevel="0" collapsed="false">
      <c r="A384" s="12" t="s">
        <v>34</v>
      </c>
      <c r="B384" s="7" t="s">
        <v>35</v>
      </c>
      <c r="C384" s="12" t="s">
        <v>111</v>
      </c>
      <c r="D384" s="7" t="s">
        <v>32</v>
      </c>
      <c r="E384" s="7" t="s">
        <v>32</v>
      </c>
      <c r="F384" s="12" t="n">
        <f aca="false">IF(D384=E384,1,0)</f>
        <v>1</v>
      </c>
      <c r="G384" s="13" t="n">
        <v>-0.0268595041322313</v>
      </c>
      <c r="H384" s="14" t="n">
        <v>0.380183451901441</v>
      </c>
      <c r="I384" s="14" t="n">
        <v>0.246227266843023</v>
      </c>
      <c r="J384" s="14" t="n">
        <v>0.373589281255537</v>
      </c>
      <c r="K384" s="12" t="s">
        <v>108</v>
      </c>
      <c r="L384" s="15" t="n">
        <v>1196</v>
      </c>
      <c r="M384" s="15" t="n">
        <v>32</v>
      </c>
    </row>
    <row r="385" customFormat="false" ht="15" hidden="false" customHeight="false" outlineLevel="0" collapsed="false">
      <c r="A385" s="12" t="s">
        <v>36</v>
      </c>
      <c r="B385" s="7" t="s">
        <v>37</v>
      </c>
      <c r="C385" s="12" t="s">
        <v>111</v>
      </c>
      <c r="D385" s="7" t="s">
        <v>32</v>
      </c>
      <c r="E385" s="7" t="s">
        <v>32</v>
      </c>
      <c r="F385" s="12" t="n">
        <f aca="false">IF(D385=E385,1,0)</f>
        <v>1</v>
      </c>
      <c r="G385" s="13" t="n">
        <v>-0.0162601626016259</v>
      </c>
      <c r="H385" s="14" t="n">
        <v>0.540150487195305</v>
      </c>
      <c r="I385" s="14" t="n">
        <v>0.241719214317576</v>
      </c>
      <c r="J385" s="14" t="n">
        <v>0.218130298487119</v>
      </c>
      <c r="K385" s="12" t="s">
        <v>108</v>
      </c>
      <c r="L385" s="15" t="n">
        <v>1196</v>
      </c>
      <c r="M385" s="15" t="n">
        <v>32</v>
      </c>
    </row>
    <row r="386" customFormat="false" ht="15" hidden="false" customHeight="false" outlineLevel="0" collapsed="false">
      <c r="A386" s="12" t="s">
        <v>38</v>
      </c>
      <c r="B386" s="7" t="s">
        <v>39</v>
      </c>
      <c r="C386" s="12" t="s">
        <v>111</v>
      </c>
      <c r="D386" s="7" t="s">
        <v>31</v>
      </c>
      <c r="E386" s="7" t="s">
        <v>32</v>
      </c>
      <c r="F386" s="12" t="n">
        <f aca="false">IF(D386=E386,1,0)</f>
        <v>0</v>
      </c>
      <c r="G386" s="13" t="n">
        <v>-0.112727272727273</v>
      </c>
      <c r="H386" s="14" t="n">
        <v>0.31366859755024</v>
      </c>
      <c r="I386" s="14" t="n">
        <v>0.218259310312987</v>
      </c>
      <c r="J386" s="14" t="n">
        <v>0.468072092136773</v>
      </c>
      <c r="K386" s="12" t="s">
        <v>108</v>
      </c>
      <c r="L386" s="15" t="n">
        <v>1196</v>
      </c>
      <c r="M386" s="15" t="n">
        <v>32</v>
      </c>
    </row>
    <row r="387" customFormat="false" ht="15" hidden="false" customHeight="false" outlineLevel="0" collapsed="false">
      <c r="A387" s="12" t="s">
        <v>41</v>
      </c>
      <c r="B387" s="7" t="s">
        <v>42</v>
      </c>
      <c r="C387" s="12" t="s">
        <v>111</v>
      </c>
      <c r="D387" s="7" t="s">
        <v>31</v>
      </c>
      <c r="E387" s="7" t="s">
        <v>40</v>
      </c>
      <c r="F387" s="12" t="n">
        <f aca="false">IF(D387=E387,1,0)</f>
        <v>0</v>
      </c>
      <c r="G387" s="13" t="n">
        <v>-0.0051150895140664</v>
      </c>
      <c r="H387" s="14" t="n">
        <v>0.365461558109128</v>
      </c>
      <c r="I387" s="14" t="n">
        <v>0.210667679659403</v>
      </c>
      <c r="J387" s="14" t="n">
        <v>0.423870762231469</v>
      </c>
      <c r="K387" s="12" t="s">
        <v>108</v>
      </c>
      <c r="L387" s="15" t="n">
        <v>1196</v>
      </c>
      <c r="M387" s="15" t="n">
        <v>32</v>
      </c>
    </row>
    <row r="388" customFormat="false" ht="15" hidden="false" customHeight="false" outlineLevel="0" collapsed="false">
      <c r="A388" s="12" t="s">
        <v>43</v>
      </c>
      <c r="B388" s="7" t="s">
        <v>44</v>
      </c>
      <c r="C388" s="12" t="s">
        <v>111</v>
      </c>
      <c r="D388" s="7" t="s">
        <v>32</v>
      </c>
      <c r="E388" s="7" t="s">
        <v>31</v>
      </c>
      <c r="F388" s="12" t="n">
        <f aca="false">IF(D388=E388,1,0)</f>
        <v>0</v>
      </c>
      <c r="G388" s="13" t="n">
        <v>0.0289079229122053</v>
      </c>
      <c r="H388" s="14" t="n">
        <v>0.385497674080292</v>
      </c>
      <c r="I388" s="14" t="n">
        <v>0.242157139188548</v>
      </c>
      <c r="J388" s="14" t="n">
        <v>0.372345186731161</v>
      </c>
      <c r="K388" s="12" t="s">
        <v>108</v>
      </c>
      <c r="L388" s="15" t="n">
        <v>1196</v>
      </c>
      <c r="M388" s="15" t="n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7" min="6" style="0" width="11"/>
    <col collapsed="false" customWidth="true" hidden="false" outlineLevel="0" max="10" min="8" style="0" width="9"/>
    <col collapsed="false" customWidth="true" hidden="false" outlineLevel="0" max="13" min="11" style="0" width="10"/>
  </cols>
  <sheetData>
    <row r="1" customFormat="false" ht="30.55" hidden="false" customHeight="fals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11" t="s">
        <v>22</v>
      </c>
      <c r="I1" s="11" t="s">
        <v>23</v>
      </c>
      <c r="J1" s="11" t="s">
        <v>24</v>
      </c>
      <c r="K1" s="6" t="s">
        <v>25</v>
      </c>
      <c r="L1" s="6" t="s">
        <v>26</v>
      </c>
      <c r="M1" s="6" t="s">
        <v>27</v>
      </c>
    </row>
    <row r="2" customFormat="false" ht="15" hidden="false" customHeight="false" outlineLevel="0" collapsed="false">
      <c r="A2" s="12" t="s">
        <v>28</v>
      </c>
      <c r="B2" s="7" t="s">
        <v>29</v>
      </c>
      <c r="C2" s="12" t="s">
        <v>30</v>
      </c>
      <c r="D2" s="7" t="s">
        <v>31</v>
      </c>
      <c r="E2" s="7" t="s">
        <v>32</v>
      </c>
      <c r="F2" s="12" t="n">
        <f aca="false">IF(D2=E2,1,0)</f>
        <v>0</v>
      </c>
      <c r="G2" s="13" t="n">
        <v>-0.0305084745762711</v>
      </c>
      <c r="H2" s="14" t="n">
        <v>0.345952489029162</v>
      </c>
      <c r="I2" s="14" t="n">
        <v>0.226067551421896</v>
      </c>
      <c r="J2" s="14" t="n">
        <v>0.427979959548941</v>
      </c>
      <c r="K2" s="12" t="s">
        <v>33</v>
      </c>
      <c r="L2" s="15" t="n">
        <v>857</v>
      </c>
      <c r="M2" s="15" t="n">
        <v>1</v>
      </c>
    </row>
    <row r="3" customFormat="false" ht="15" hidden="false" customHeight="false" outlineLevel="0" collapsed="false">
      <c r="A3" s="12" t="s">
        <v>34</v>
      </c>
      <c r="B3" s="7" t="s">
        <v>35</v>
      </c>
      <c r="C3" s="12" t="s">
        <v>30</v>
      </c>
      <c r="D3" s="7" t="s">
        <v>31</v>
      </c>
      <c r="E3" s="7" t="s">
        <v>32</v>
      </c>
      <c r="F3" s="12" t="n">
        <f aca="false">IF(D3=E3,1,0)</f>
        <v>0</v>
      </c>
      <c r="G3" s="13" t="n">
        <v>-0.0203045685279187</v>
      </c>
      <c r="H3" s="14" t="n">
        <v>0.342036279421381</v>
      </c>
      <c r="I3" s="14" t="n">
        <v>0.234828528108033</v>
      </c>
      <c r="J3" s="14" t="n">
        <v>0.423135192470586</v>
      </c>
      <c r="K3" s="12" t="s">
        <v>33</v>
      </c>
      <c r="L3" s="15" t="n">
        <v>857</v>
      </c>
      <c r="M3" s="15" t="n">
        <v>1</v>
      </c>
    </row>
    <row r="4" customFormat="false" ht="15" hidden="false" customHeight="false" outlineLevel="0" collapsed="false">
      <c r="A4" s="12" t="s">
        <v>36</v>
      </c>
      <c r="B4" s="7" t="s">
        <v>37</v>
      </c>
      <c r="C4" s="12" t="s">
        <v>30</v>
      </c>
      <c r="D4" s="7" t="s">
        <v>31</v>
      </c>
      <c r="E4" s="7" t="s">
        <v>32</v>
      </c>
      <c r="F4" s="12" t="n">
        <f aca="false">IF(D4=E4,1,0)</f>
        <v>0</v>
      </c>
      <c r="G4" s="13" t="n">
        <v>-0.0242587601078166</v>
      </c>
      <c r="H4" s="14" t="n">
        <v>0.342036279421381</v>
      </c>
      <c r="I4" s="14" t="n">
        <v>0.234828528108033</v>
      </c>
      <c r="J4" s="14" t="n">
        <v>0.423135192470586</v>
      </c>
      <c r="K4" s="12" t="s">
        <v>33</v>
      </c>
      <c r="L4" s="15" t="n">
        <v>857</v>
      </c>
      <c r="M4" s="15" t="n">
        <v>1</v>
      </c>
    </row>
    <row r="5" customFormat="false" ht="15" hidden="false" customHeight="false" outlineLevel="0" collapsed="false">
      <c r="A5" s="12" t="s">
        <v>38</v>
      </c>
      <c r="B5" s="7" t="s">
        <v>39</v>
      </c>
      <c r="C5" s="12" t="s">
        <v>30</v>
      </c>
      <c r="D5" s="7" t="s">
        <v>31</v>
      </c>
      <c r="E5" s="7" t="s">
        <v>40</v>
      </c>
      <c r="F5" s="12" t="n">
        <f aca="false">IF(D5=E5,1,0)</f>
        <v>0</v>
      </c>
      <c r="G5" s="13" t="n">
        <v>0</v>
      </c>
      <c r="H5" s="14" t="n">
        <v>0.349404910034439</v>
      </c>
      <c r="I5" s="14" t="n">
        <v>0.233832737833107</v>
      </c>
      <c r="J5" s="14" t="n">
        <v>0.416762352132455</v>
      </c>
      <c r="K5" s="12" t="s">
        <v>33</v>
      </c>
      <c r="L5" s="15" t="n">
        <v>857</v>
      </c>
      <c r="M5" s="15" t="n">
        <v>1</v>
      </c>
    </row>
    <row r="6" customFormat="false" ht="15" hidden="false" customHeight="false" outlineLevel="0" collapsed="false">
      <c r="A6" s="12" t="s">
        <v>41</v>
      </c>
      <c r="B6" s="7" t="s">
        <v>42</v>
      </c>
      <c r="C6" s="12" t="s">
        <v>30</v>
      </c>
      <c r="D6" s="7" t="s">
        <v>31</v>
      </c>
      <c r="E6" s="7" t="s">
        <v>32</v>
      </c>
      <c r="F6" s="12" t="n">
        <f aca="false">IF(D6=E6,1,0)</f>
        <v>0</v>
      </c>
      <c r="G6" s="13" t="n">
        <v>-0.0097799511002445</v>
      </c>
      <c r="H6" s="14" t="n">
        <v>0.345952489029162</v>
      </c>
      <c r="I6" s="14" t="n">
        <v>0.226067551421896</v>
      </c>
      <c r="J6" s="14" t="n">
        <v>0.427979959548941</v>
      </c>
      <c r="K6" s="12" t="s">
        <v>33</v>
      </c>
      <c r="L6" s="15" t="n">
        <v>857</v>
      </c>
      <c r="M6" s="15" t="n">
        <v>1</v>
      </c>
    </row>
    <row r="7" customFormat="false" ht="15" hidden="false" customHeight="false" outlineLevel="0" collapsed="false">
      <c r="A7" s="12" t="s">
        <v>43</v>
      </c>
      <c r="B7" s="7" t="s">
        <v>44</v>
      </c>
      <c r="C7" s="12" t="s">
        <v>30</v>
      </c>
      <c r="D7" s="7" t="s">
        <v>31</v>
      </c>
      <c r="E7" s="7" t="s">
        <v>40</v>
      </c>
      <c r="F7" s="12" t="n">
        <f aca="false">IF(D7=E7,1,0)</f>
        <v>0</v>
      </c>
      <c r="G7" s="13" t="n">
        <v>-0.0013908205841447</v>
      </c>
      <c r="H7" s="14" t="n">
        <v>0.338185873669962</v>
      </c>
      <c r="I7" s="14" t="n">
        <v>0.236202745389237</v>
      </c>
      <c r="J7" s="14" t="n">
        <v>0.425611380940801</v>
      </c>
      <c r="K7" s="12" t="s">
        <v>33</v>
      </c>
      <c r="L7" s="15" t="n">
        <v>857</v>
      </c>
      <c r="M7" s="15" t="n">
        <v>1</v>
      </c>
    </row>
    <row r="8" customFormat="false" ht="15" hidden="false" customHeight="false" outlineLevel="0" collapsed="false">
      <c r="A8" s="12" t="s">
        <v>28</v>
      </c>
      <c r="B8" s="7" t="s">
        <v>29</v>
      </c>
      <c r="C8" s="12" t="s">
        <v>45</v>
      </c>
      <c r="D8" s="7" t="s">
        <v>31</v>
      </c>
      <c r="E8" s="7" t="s">
        <v>31</v>
      </c>
      <c r="F8" s="12" t="n">
        <f aca="false">IF(D8=E8,1,0)</f>
        <v>1</v>
      </c>
      <c r="G8" s="13" t="n">
        <v>0.0594405594405593</v>
      </c>
      <c r="H8" s="14" t="n">
        <v>0.363242954752698</v>
      </c>
      <c r="I8" s="14" t="n">
        <v>0.225375632756227</v>
      </c>
      <c r="J8" s="14" t="n">
        <v>0.411381412491075</v>
      </c>
      <c r="K8" s="12" t="s">
        <v>33</v>
      </c>
      <c r="L8" s="15" t="n">
        <v>857</v>
      </c>
      <c r="M8" s="15" t="n">
        <v>1</v>
      </c>
    </row>
    <row r="9" customFormat="false" ht="15" hidden="false" customHeight="false" outlineLevel="0" collapsed="false">
      <c r="A9" s="12" t="s">
        <v>34</v>
      </c>
      <c r="B9" s="7" t="s">
        <v>35</v>
      </c>
      <c r="C9" s="12" t="s">
        <v>45</v>
      </c>
      <c r="D9" s="7" t="s">
        <v>31</v>
      </c>
      <c r="E9" s="7" t="s">
        <v>32</v>
      </c>
      <c r="F9" s="12" t="n">
        <f aca="false">IF(D9=E9,1,0)</f>
        <v>0</v>
      </c>
      <c r="G9" s="13" t="n">
        <v>-0.005181347150259</v>
      </c>
      <c r="H9" s="14" t="n">
        <v>0.361278315053431</v>
      </c>
      <c r="I9" s="14" t="n">
        <v>0.229565274328057</v>
      </c>
      <c r="J9" s="14" t="n">
        <v>0.409156410618512</v>
      </c>
      <c r="K9" s="12" t="s">
        <v>33</v>
      </c>
      <c r="L9" s="15" t="n">
        <v>857</v>
      </c>
      <c r="M9" s="15" t="n">
        <v>1</v>
      </c>
    </row>
    <row r="10" customFormat="false" ht="15" hidden="false" customHeight="false" outlineLevel="0" collapsed="false">
      <c r="A10" s="12" t="s">
        <v>36</v>
      </c>
      <c r="B10" s="7" t="s">
        <v>37</v>
      </c>
      <c r="C10" s="12" t="s">
        <v>45</v>
      </c>
      <c r="D10" s="7" t="s">
        <v>31</v>
      </c>
      <c r="E10" s="7" t="s">
        <v>31</v>
      </c>
      <c r="F10" s="12" t="n">
        <f aca="false">IF(D10=E10,1,0)</f>
        <v>1</v>
      </c>
      <c r="G10" s="13" t="n">
        <v>0.0276243093922652</v>
      </c>
      <c r="H10" s="14" t="n">
        <v>0.361278315053431</v>
      </c>
      <c r="I10" s="14" t="n">
        <v>0.229565274328057</v>
      </c>
      <c r="J10" s="14" t="n">
        <v>0.409156410618512</v>
      </c>
      <c r="K10" s="12" t="s">
        <v>33</v>
      </c>
      <c r="L10" s="15" t="n">
        <v>857</v>
      </c>
      <c r="M10" s="15" t="n">
        <v>1</v>
      </c>
    </row>
    <row r="11" customFormat="false" ht="15" hidden="false" customHeight="false" outlineLevel="0" collapsed="false">
      <c r="A11" s="12" t="s">
        <v>38</v>
      </c>
      <c r="B11" s="7" t="s">
        <v>39</v>
      </c>
      <c r="C11" s="12" t="s">
        <v>45</v>
      </c>
      <c r="D11" s="7" t="s">
        <v>31</v>
      </c>
      <c r="E11" s="7" t="s">
        <v>40</v>
      </c>
      <c r="F11" s="12" t="n">
        <f aca="false">IF(D11=E11,1,0)</f>
        <v>0</v>
      </c>
      <c r="G11" s="13" t="n">
        <v>0.0034129692832765</v>
      </c>
      <c r="H11" s="14" t="n">
        <v>0.355867018817254</v>
      </c>
      <c r="I11" s="14" t="n">
        <v>0.226126801402427</v>
      </c>
      <c r="J11" s="14" t="n">
        <v>0.418006179780319</v>
      </c>
      <c r="K11" s="12" t="s">
        <v>33</v>
      </c>
      <c r="L11" s="15" t="n">
        <v>857</v>
      </c>
      <c r="M11" s="15" t="n">
        <v>1</v>
      </c>
    </row>
    <row r="12" customFormat="false" ht="15" hidden="false" customHeight="false" outlineLevel="0" collapsed="false">
      <c r="A12" s="12" t="s">
        <v>41</v>
      </c>
      <c r="B12" s="7" t="s">
        <v>42</v>
      </c>
      <c r="C12" s="12" t="s">
        <v>45</v>
      </c>
      <c r="D12" s="7" t="s">
        <v>31</v>
      </c>
      <c r="E12" s="7" t="s">
        <v>40</v>
      </c>
      <c r="F12" s="12" t="n">
        <f aca="false">IF(D12=E12,1,0)</f>
        <v>0</v>
      </c>
      <c r="G12" s="13" t="n">
        <v>0.0024691358024691</v>
      </c>
      <c r="H12" s="14" t="n">
        <v>0.359143458963915</v>
      </c>
      <c r="I12" s="14" t="n">
        <v>0.234117906459971</v>
      </c>
      <c r="J12" s="14" t="n">
        <v>0.406738634576115</v>
      </c>
      <c r="K12" s="12" t="s">
        <v>33</v>
      </c>
      <c r="L12" s="15" t="n">
        <v>857</v>
      </c>
      <c r="M12" s="15" t="n">
        <v>1</v>
      </c>
    </row>
    <row r="13" customFormat="false" ht="15" hidden="false" customHeight="false" outlineLevel="0" collapsed="false">
      <c r="A13" s="12" t="s">
        <v>43</v>
      </c>
      <c r="B13" s="7" t="s">
        <v>44</v>
      </c>
      <c r="C13" s="12" t="s">
        <v>45</v>
      </c>
      <c r="D13" s="7" t="s">
        <v>31</v>
      </c>
      <c r="E13" s="7" t="s">
        <v>40</v>
      </c>
      <c r="F13" s="12" t="n">
        <f aca="false">IF(D13=E13,1,0)</f>
        <v>0</v>
      </c>
      <c r="G13" s="13" t="n">
        <v>0.0013927576601673</v>
      </c>
      <c r="H13" s="14" t="n">
        <v>0.353795453001065</v>
      </c>
      <c r="I13" s="14" t="n">
        <v>0.230631656248509</v>
      </c>
      <c r="J13" s="14" t="n">
        <v>0.415572890750426</v>
      </c>
      <c r="K13" s="12" t="s">
        <v>33</v>
      </c>
      <c r="L13" s="15" t="n">
        <v>857</v>
      </c>
      <c r="M13" s="15" t="n">
        <v>1</v>
      </c>
    </row>
    <row r="14" customFormat="false" ht="15" hidden="false" customHeight="false" outlineLevel="0" collapsed="false">
      <c r="A14" s="12" t="s">
        <v>28</v>
      </c>
      <c r="B14" s="7" t="s">
        <v>29</v>
      </c>
      <c r="C14" s="12" t="s">
        <v>46</v>
      </c>
      <c r="D14" s="7" t="s">
        <v>31</v>
      </c>
      <c r="E14" s="7" t="s">
        <v>31</v>
      </c>
      <c r="F14" s="12" t="n">
        <f aca="false">IF(D14=E14,1,0)</f>
        <v>1</v>
      </c>
      <c r="G14" s="13" t="n">
        <v>0.0990099009900991</v>
      </c>
      <c r="H14" s="14" t="n">
        <v>0.347586431495167</v>
      </c>
      <c r="I14" s="14" t="n">
        <v>0.227135274257163</v>
      </c>
      <c r="J14" s="14" t="n">
        <v>0.42527829424767</v>
      </c>
      <c r="K14" s="12" t="s">
        <v>33</v>
      </c>
      <c r="L14" s="15" t="n">
        <v>857</v>
      </c>
      <c r="M14" s="15" t="n">
        <v>1</v>
      </c>
    </row>
    <row r="15" customFormat="false" ht="15" hidden="false" customHeight="false" outlineLevel="0" collapsed="false">
      <c r="A15" s="12" t="s">
        <v>34</v>
      </c>
      <c r="B15" s="7" t="s">
        <v>35</v>
      </c>
      <c r="C15" s="12" t="s">
        <v>46</v>
      </c>
      <c r="D15" s="7" t="s">
        <v>31</v>
      </c>
      <c r="E15" s="7" t="s">
        <v>31</v>
      </c>
      <c r="F15" s="12" t="n">
        <f aca="false">IF(D15=E15,1,0)</f>
        <v>1</v>
      </c>
      <c r="G15" s="13" t="n">
        <v>0.0494791666666667</v>
      </c>
      <c r="H15" s="14" t="n">
        <v>0.345691873875246</v>
      </c>
      <c r="I15" s="14" t="n">
        <v>0.231347857438347</v>
      </c>
      <c r="J15" s="14" t="n">
        <v>0.422960268686408</v>
      </c>
      <c r="K15" s="12" t="s">
        <v>33</v>
      </c>
      <c r="L15" s="15" t="n">
        <v>857</v>
      </c>
      <c r="M15" s="15" t="n">
        <v>1</v>
      </c>
    </row>
    <row r="16" customFormat="false" ht="15" hidden="false" customHeight="false" outlineLevel="0" collapsed="false">
      <c r="A16" s="12" t="s">
        <v>36</v>
      </c>
      <c r="B16" s="7" t="s">
        <v>37</v>
      </c>
      <c r="C16" s="12" t="s">
        <v>46</v>
      </c>
      <c r="D16" s="7" t="s">
        <v>31</v>
      </c>
      <c r="E16" s="7" t="s">
        <v>31</v>
      </c>
      <c r="F16" s="12" t="n">
        <f aca="false">IF(D16=E16,1,0)</f>
        <v>1</v>
      </c>
      <c r="G16" s="13" t="n">
        <v>0.0483870967741935</v>
      </c>
      <c r="H16" s="14" t="n">
        <v>0.343633353163487</v>
      </c>
      <c r="I16" s="14" t="n">
        <v>0.235925015523851</v>
      </c>
      <c r="J16" s="14" t="n">
        <v>0.420441631312662</v>
      </c>
      <c r="K16" s="12" t="s">
        <v>33</v>
      </c>
      <c r="L16" s="15" t="n">
        <v>857</v>
      </c>
      <c r="M16" s="15" t="n">
        <v>1</v>
      </c>
    </row>
    <row r="17" customFormat="false" ht="15" hidden="false" customHeight="false" outlineLevel="0" collapsed="false">
      <c r="A17" s="12" t="s">
        <v>38</v>
      </c>
      <c r="B17" s="7" t="s">
        <v>39</v>
      </c>
      <c r="C17" s="12" t="s">
        <v>46</v>
      </c>
      <c r="D17" s="7" t="s">
        <v>31</v>
      </c>
      <c r="E17" s="7" t="s">
        <v>31</v>
      </c>
      <c r="F17" s="12" t="n">
        <f aca="false">IF(D17=E17,1,0)</f>
        <v>1</v>
      </c>
      <c r="G17" s="13" t="n">
        <v>0.0748299319727892</v>
      </c>
      <c r="H17" s="14" t="n">
        <v>0.352689755611705</v>
      </c>
      <c r="I17" s="14" t="n">
        <v>0.23603105964437</v>
      </c>
      <c r="J17" s="14" t="n">
        <v>0.411279184743925</v>
      </c>
      <c r="K17" s="12" t="s">
        <v>33</v>
      </c>
      <c r="L17" s="15" t="n">
        <v>857</v>
      </c>
      <c r="M17" s="15" t="n">
        <v>1</v>
      </c>
    </row>
    <row r="18" customFormat="false" ht="15" hidden="false" customHeight="false" outlineLevel="0" collapsed="false">
      <c r="A18" s="12" t="s">
        <v>41</v>
      </c>
      <c r="B18" s="7" t="s">
        <v>42</v>
      </c>
      <c r="C18" s="12" t="s">
        <v>46</v>
      </c>
      <c r="D18" s="7" t="s">
        <v>31</v>
      </c>
      <c r="E18" s="7" t="s">
        <v>40</v>
      </c>
      <c r="F18" s="12" t="n">
        <f aca="false">IF(D18=E18,1,0)</f>
        <v>0</v>
      </c>
      <c r="G18" s="13" t="n">
        <v>-0.0049261083743842</v>
      </c>
      <c r="H18" s="14" t="n">
        <v>0.352042828420572</v>
      </c>
      <c r="I18" s="14" t="n">
        <v>0.240117657597924</v>
      </c>
      <c r="J18" s="14" t="n">
        <v>0.407839513981505</v>
      </c>
      <c r="K18" s="12" t="s">
        <v>33</v>
      </c>
      <c r="L18" s="15" t="n">
        <v>857</v>
      </c>
      <c r="M18" s="15" t="n">
        <v>1</v>
      </c>
    </row>
    <row r="19" customFormat="false" ht="15" hidden="false" customHeight="false" outlineLevel="0" collapsed="false">
      <c r="A19" s="12" t="s">
        <v>43</v>
      </c>
      <c r="B19" s="7" t="s">
        <v>44</v>
      </c>
      <c r="C19" s="12" t="s">
        <v>46</v>
      </c>
      <c r="D19" s="7" t="s">
        <v>31</v>
      </c>
      <c r="E19" s="7" t="s">
        <v>31</v>
      </c>
      <c r="F19" s="12" t="n">
        <f aca="false">IF(D19=E19,1,0)</f>
        <v>1</v>
      </c>
      <c r="G19" s="13" t="n">
        <v>0.026425591098748</v>
      </c>
      <c r="H19" s="14" t="n">
        <v>0.347005412350722</v>
      </c>
      <c r="I19" s="14" t="n">
        <v>0.232226918633965</v>
      </c>
      <c r="J19" s="14" t="n">
        <v>0.420767669015312</v>
      </c>
      <c r="K19" s="12" t="s">
        <v>33</v>
      </c>
      <c r="L19" s="15" t="n">
        <v>857</v>
      </c>
      <c r="M19" s="15" t="n">
        <v>1</v>
      </c>
    </row>
    <row r="20" customFormat="false" ht="15" hidden="false" customHeight="false" outlineLevel="0" collapsed="false">
      <c r="A20" s="12" t="s">
        <v>28</v>
      </c>
      <c r="B20" s="7" t="s">
        <v>29</v>
      </c>
      <c r="C20" s="12" t="s">
        <v>47</v>
      </c>
      <c r="D20" s="7" t="s">
        <v>31</v>
      </c>
      <c r="E20" s="7" t="s">
        <v>32</v>
      </c>
      <c r="F20" s="12" t="n">
        <f aca="false">IF(D20=E20,1,0)</f>
        <v>0</v>
      </c>
      <c r="G20" s="13" t="n">
        <v>-0.0120120120120119</v>
      </c>
      <c r="H20" s="14" t="n">
        <v>0.353695057534422</v>
      </c>
      <c r="I20" s="14" t="n">
        <v>0.228577617624797</v>
      </c>
      <c r="J20" s="14" t="n">
        <v>0.417727324840781</v>
      </c>
      <c r="K20" s="12" t="s">
        <v>33</v>
      </c>
      <c r="L20" s="15" t="n">
        <v>857</v>
      </c>
      <c r="M20" s="15" t="n">
        <v>1</v>
      </c>
    </row>
    <row r="21" customFormat="false" ht="15" hidden="false" customHeight="false" outlineLevel="0" collapsed="false">
      <c r="A21" s="12" t="s">
        <v>34</v>
      </c>
      <c r="B21" s="7" t="s">
        <v>35</v>
      </c>
      <c r="C21" s="12" t="s">
        <v>47</v>
      </c>
      <c r="D21" s="7" t="s">
        <v>31</v>
      </c>
      <c r="E21" s="7" t="s">
        <v>32</v>
      </c>
      <c r="F21" s="12" t="n">
        <f aca="false">IF(D21=E21,1,0)</f>
        <v>0</v>
      </c>
      <c r="G21" s="13" t="n">
        <v>-0.0074441687344912</v>
      </c>
      <c r="H21" s="14" t="n">
        <v>0.345691873875246</v>
      </c>
      <c r="I21" s="14" t="n">
        <v>0.231347857438347</v>
      </c>
      <c r="J21" s="14" t="n">
        <v>0.422960268686408</v>
      </c>
      <c r="K21" s="12" t="s">
        <v>33</v>
      </c>
      <c r="L21" s="15" t="n">
        <v>857</v>
      </c>
      <c r="M21" s="15" t="n">
        <v>1</v>
      </c>
    </row>
    <row r="22" customFormat="false" ht="15" hidden="false" customHeight="false" outlineLevel="0" collapsed="false">
      <c r="A22" s="12" t="s">
        <v>36</v>
      </c>
      <c r="B22" s="7" t="s">
        <v>37</v>
      </c>
      <c r="C22" s="12" t="s">
        <v>47</v>
      </c>
      <c r="D22" s="7" t="s">
        <v>31</v>
      </c>
      <c r="E22" s="7" t="s">
        <v>40</v>
      </c>
      <c r="F22" s="12" t="n">
        <f aca="false">IF(D22=E22,1,0)</f>
        <v>0</v>
      </c>
      <c r="G22" s="13" t="n">
        <v>0.0025641025641025</v>
      </c>
      <c r="H22" s="14" t="n">
        <v>0.339774252941426</v>
      </c>
      <c r="I22" s="14" t="n">
        <v>0.237312133964719</v>
      </c>
      <c r="J22" s="14" t="n">
        <v>0.422913613093855</v>
      </c>
      <c r="K22" s="12" t="s">
        <v>33</v>
      </c>
      <c r="L22" s="15" t="n">
        <v>857</v>
      </c>
      <c r="M22" s="15" t="n">
        <v>1</v>
      </c>
    </row>
    <row r="23" customFormat="false" ht="15" hidden="false" customHeight="false" outlineLevel="0" collapsed="false">
      <c r="A23" s="12" t="s">
        <v>38</v>
      </c>
      <c r="B23" s="7" t="s">
        <v>39</v>
      </c>
      <c r="C23" s="12" t="s">
        <v>47</v>
      </c>
      <c r="D23" s="7" t="s">
        <v>31</v>
      </c>
      <c r="E23" s="7" t="s">
        <v>40</v>
      </c>
      <c r="F23" s="12" t="n">
        <f aca="false">IF(D23=E23,1,0)</f>
        <v>0</v>
      </c>
      <c r="G23" s="13" t="n">
        <v>-0.0031645569620253</v>
      </c>
      <c r="H23" s="14" t="n">
        <v>0.348150477144073</v>
      </c>
      <c r="I23" s="14" t="n">
        <v>0.225881108541105</v>
      </c>
      <c r="J23" s="14" t="n">
        <v>0.425968414314822</v>
      </c>
      <c r="K23" s="12" t="s">
        <v>33</v>
      </c>
      <c r="L23" s="15" t="n">
        <v>857</v>
      </c>
      <c r="M23" s="15" t="n">
        <v>1</v>
      </c>
    </row>
    <row r="24" customFormat="false" ht="15" hidden="false" customHeight="false" outlineLevel="0" collapsed="false">
      <c r="A24" s="12" t="s">
        <v>41</v>
      </c>
      <c r="B24" s="7" t="s">
        <v>42</v>
      </c>
      <c r="C24" s="12" t="s">
        <v>47</v>
      </c>
      <c r="D24" s="7" t="s">
        <v>31</v>
      </c>
      <c r="E24" s="7" t="s">
        <v>40</v>
      </c>
      <c r="F24" s="12" t="n">
        <f aca="false">IF(D24=E24,1,0)</f>
        <v>0</v>
      </c>
      <c r="G24" s="13" t="n">
        <v>0.0049504950495049</v>
      </c>
      <c r="H24" s="14" t="n">
        <v>0.355249274471446</v>
      </c>
      <c r="I24" s="14" t="n">
        <v>0.230486830247332</v>
      </c>
      <c r="J24" s="14" t="n">
        <v>0.414263895281222</v>
      </c>
      <c r="K24" s="12" t="s">
        <v>33</v>
      </c>
      <c r="L24" s="15" t="n">
        <v>857</v>
      </c>
      <c r="M24" s="15" t="n">
        <v>1</v>
      </c>
    </row>
    <row r="25" customFormat="false" ht="15" hidden="false" customHeight="false" outlineLevel="0" collapsed="false">
      <c r="A25" s="12" t="s">
        <v>43</v>
      </c>
      <c r="B25" s="7" t="s">
        <v>44</v>
      </c>
      <c r="C25" s="12" t="s">
        <v>47</v>
      </c>
      <c r="D25" s="7" t="s">
        <v>31</v>
      </c>
      <c r="E25" s="7" t="s">
        <v>40</v>
      </c>
      <c r="F25" s="12" t="n">
        <f aca="false">IF(D25=E25,1,0)</f>
        <v>0</v>
      </c>
      <c r="G25" s="13" t="n">
        <v>-0.002710027100271</v>
      </c>
      <c r="H25" s="14" t="n">
        <v>0.360798465960033</v>
      </c>
      <c r="I25" s="14" t="n">
        <v>0.233074351462385</v>
      </c>
      <c r="J25" s="14" t="n">
        <v>0.406127182577582</v>
      </c>
      <c r="K25" s="12" t="s">
        <v>33</v>
      </c>
      <c r="L25" s="15" t="n">
        <v>857</v>
      </c>
      <c r="M25" s="15" t="n">
        <v>1</v>
      </c>
    </row>
    <row r="26" customFormat="false" ht="15" hidden="false" customHeight="false" outlineLevel="0" collapsed="false">
      <c r="A26" s="12" t="s">
        <v>28</v>
      </c>
      <c r="B26" s="7" t="s">
        <v>29</v>
      </c>
      <c r="C26" s="12" t="s">
        <v>48</v>
      </c>
      <c r="D26" s="7" t="s">
        <v>31</v>
      </c>
      <c r="E26" s="7" t="s">
        <v>31</v>
      </c>
      <c r="F26" s="12" t="n">
        <f aca="false">IF(D26=E26,1,0)</f>
        <v>1</v>
      </c>
      <c r="G26" s="13" t="n">
        <v>0.0547112462006078</v>
      </c>
      <c r="H26" s="14" t="n">
        <v>0.347443915548757</v>
      </c>
      <c r="I26" s="14" t="n">
        <v>0.230788448841818</v>
      </c>
      <c r="J26" s="14" t="n">
        <v>0.421767635609425</v>
      </c>
      <c r="K26" s="12" t="s">
        <v>33</v>
      </c>
      <c r="L26" s="15" t="n">
        <v>857</v>
      </c>
      <c r="M26" s="15" t="n">
        <v>1</v>
      </c>
    </row>
    <row r="27" customFormat="false" ht="15" hidden="false" customHeight="false" outlineLevel="0" collapsed="false">
      <c r="A27" s="12" t="s">
        <v>34</v>
      </c>
      <c r="B27" s="7" t="s">
        <v>35</v>
      </c>
      <c r="C27" s="12" t="s">
        <v>48</v>
      </c>
      <c r="D27" s="7" t="s">
        <v>31</v>
      </c>
      <c r="E27" s="7" t="s">
        <v>40</v>
      </c>
      <c r="F27" s="12" t="n">
        <f aca="false">IF(D27=E27,1,0)</f>
        <v>0</v>
      </c>
      <c r="G27" s="13" t="n">
        <v>0.0024999999999999</v>
      </c>
      <c r="H27" s="14" t="n">
        <v>0.345412669479483</v>
      </c>
      <c r="I27" s="14" t="n">
        <v>0.235285456473286</v>
      </c>
      <c r="J27" s="14" t="n">
        <v>0.419301874047231</v>
      </c>
      <c r="K27" s="12" t="s">
        <v>33</v>
      </c>
      <c r="L27" s="15" t="n">
        <v>857</v>
      </c>
      <c r="M27" s="15" t="n">
        <v>1</v>
      </c>
    </row>
    <row r="28" customFormat="false" ht="15" hidden="false" customHeight="false" outlineLevel="0" collapsed="false">
      <c r="A28" s="12" t="s">
        <v>36</v>
      </c>
      <c r="B28" s="7" t="s">
        <v>37</v>
      </c>
      <c r="C28" s="12" t="s">
        <v>48</v>
      </c>
      <c r="D28" s="7" t="s">
        <v>31</v>
      </c>
      <c r="E28" s="7" t="s">
        <v>31</v>
      </c>
      <c r="F28" s="12" t="n">
        <f aca="false">IF(D28=E28,1,0)</f>
        <v>1</v>
      </c>
      <c r="G28" s="13" t="n">
        <v>0.0230179028132992</v>
      </c>
      <c r="H28" s="14" t="n">
        <v>0.352042828420572</v>
      </c>
      <c r="I28" s="14" t="n">
        <v>0.240117657597924</v>
      </c>
      <c r="J28" s="14" t="n">
        <v>0.407839513981505</v>
      </c>
      <c r="K28" s="12" t="s">
        <v>33</v>
      </c>
      <c r="L28" s="15" t="n">
        <v>857</v>
      </c>
      <c r="M28" s="15" t="n">
        <v>1</v>
      </c>
    </row>
    <row r="29" customFormat="false" ht="15" hidden="false" customHeight="false" outlineLevel="0" collapsed="false">
      <c r="A29" s="12" t="s">
        <v>38</v>
      </c>
      <c r="B29" s="7" t="s">
        <v>39</v>
      </c>
      <c r="C29" s="12" t="s">
        <v>48</v>
      </c>
      <c r="D29" s="7" t="s">
        <v>31</v>
      </c>
      <c r="E29" s="7" t="s">
        <v>40</v>
      </c>
      <c r="F29" s="12" t="n">
        <f aca="false">IF(D29=E29,1,0)</f>
        <v>0</v>
      </c>
      <c r="G29" s="13" t="n">
        <v>0</v>
      </c>
      <c r="H29" s="14" t="n">
        <v>0.357508438024329</v>
      </c>
      <c r="I29" s="14" t="n">
        <v>0.227169800206559</v>
      </c>
      <c r="J29" s="14" t="n">
        <v>0.415321761769112</v>
      </c>
      <c r="K29" s="12" t="s">
        <v>33</v>
      </c>
      <c r="L29" s="15" t="n">
        <v>857</v>
      </c>
      <c r="M29" s="15" t="n">
        <v>1</v>
      </c>
    </row>
    <row r="30" customFormat="false" ht="15" hidden="false" customHeight="false" outlineLevel="0" collapsed="false">
      <c r="A30" s="12" t="s">
        <v>41</v>
      </c>
      <c r="B30" s="7" t="s">
        <v>42</v>
      </c>
      <c r="C30" s="12" t="s">
        <v>48</v>
      </c>
      <c r="D30" s="7" t="s">
        <v>31</v>
      </c>
      <c r="E30" s="7" t="s">
        <v>40</v>
      </c>
      <c r="F30" s="12" t="n">
        <f aca="false">IF(D30=E30,1,0)</f>
        <v>0</v>
      </c>
      <c r="G30" s="13" t="n">
        <v>-0.0024630541871921</v>
      </c>
      <c r="H30" s="14" t="n">
        <v>0.352552510052821</v>
      </c>
      <c r="I30" s="14" t="n">
        <v>0.239928781596508</v>
      </c>
      <c r="J30" s="14" t="n">
        <v>0.407518708350671</v>
      </c>
      <c r="K30" s="12" t="s">
        <v>33</v>
      </c>
      <c r="L30" s="15" t="n">
        <v>857</v>
      </c>
      <c r="M30" s="15" t="n">
        <v>1</v>
      </c>
    </row>
    <row r="31" customFormat="false" ht="15" hidden="false" customHeight="false" outlineLevel="0" collapsed="false">
      <c r="A31" s="12" t="s">
        <v>43</v>
      </c>
      <c r="B31" s="7" t="s">
        <v>44</v>
      </c>
      <c r="C31" s="12" t="s">
        <v>48</v>
      </c>
      <c r="D31" s="7" t="s">
        <v>31</v>
      </c>
      <c r="E31" s="7" t="s">
        <v>32</v>
      </c>
      <c r="F31" s="12" t="n">
        <f aca="false">IF(D31=E31,1,0)</f>
        <v>0</v>
      </c>
      <c r="G31" s="13" t="n">
        <v>-0.0095108695652171</v>
      </c>
      <c r="H31" s="14" t="n">
        <v>0.354490639221674</v>
      </c>
      <c r="I31" s="14" t="n">
        <v>0.235374396984629</v>
      </c>
      <c r="J31" s="14" t="n">
        <v>0.410134963793697</v>
      </c>
      <c r="K31" s="12" t="s">
        <v>33</v>
      </c>
      <c r="L31" s="15" t="n">
        <v>857</v>
      </c>
      <c r="M31" s="15" t="n">
        <v>1</v>
      </c>
    </row>
    <row r="32" customFormat="false" ht="15" hidden="false" customHeight="false" outlineLevel="0" collapsed="false">
      <c r="A32" s="12" t="s">
        <v>28</v>
      </c>
      <c r="B32" s="7" t="s">
        <v>29</v>
      </c>
      <c r="C32" s="12" t="s">
        <v>49</v>
      </c>
      <c r="D32" s="7" t="s">
        <v>31</v>
      </c>
      <c r="E32" s="7" t="s">
        <v>40</v>
      </c>
      <c r="F32" s="12" t="n">
        <f aca="false">IF(D32=E32,1,0)</f>
        <v>0</v>
      </c>
      <c r="G32" s="13" t="n">
        <v>0.0028818443804035</v>
      </c>
      <c r="H32" s="14" t="n">
        <v>0.347443915548757</v>
      </c>
      <c r="I32" s="14" t="n">
        <v>0.230788448841818</v>
      </c>
      <c r="J32" s="14" t="n">
        <v>0.421767635609425</v>
      </c>
      <c r="K32" s="12" t="s">
        <v>33</v>
      </c>
      <c r="L32" s="15" t="n">
        <v>857</v>
      </c>
      <c r="M32" s="15" t="n">
        <v>1</v>
      </c>
    </row>
    <row r="33" customFormat="false" ht="15" hidden="false" customHeight="false" outlineLevel="0" collapsed="false">
      <c r="A33" s="12" t="s">
        <v>34</v>
      </c>
      <c r="B33" s="7" t="s">
        <v>35</v>
      </c>
      <c r="C33" s="12" t="s">
        <v>49</v>
      </c>
      <c r="D33" s="7" t="s">
        <v>31</v>
      </c>
      <c r="E33" s="7" t="s">
        <v>40</v>
      </c>
      <c r="F33" s="12" t="n">
        <f aca="false">IF(D33=E33,1,0)</f>
        <v>0</v>
      </c>
      <c r="G33" s="13" t="n">
        <v>-0.0024937655860348</v>
      </c>
      <c r="H33" s="14" t="n">
        <v>0.362437907082262</v>
      </c>
      <c r="I33" s="14" t="n">
        <v>0.236265486423235</v>
      </c>
      <c r="J33" s="14" t="n">
        <v>0.401296606494504</v>
      </c>
      <c r="K33" s="12" t="s">
        <v>33</v>
      </c>
      <c r="L33" s="15" t="n">
        <v>857</v>
      </c>
      <c r="M33" s="15" t="n">
        <v>1</v>
      </c>
    </row>
    <row r="34" customFormat="false" ht="15" hidden="false" customHeight="false" outlineLevel="0" collapsed="false">
      <c r="A34" s="12" t="s">
        <v>36</v>
      </c>
      <c r="B34" s="7" t="s">
        <v>37</v>
      </c>
      <c r="C34" s="12" t="s">
        <v>49</v>
      </c>
      <c r="D34" s="7" t="s">
        <v>31</v>
      </c>
      <c r="E34" s="7" t="s">
        <v>32</v>
      </c>
      <c r="F34" s="12" t="n">
        <f aca="false">IF(D34=E34,1,0)</f>
        <v>0</v>
      </c>
      <c r="G34" s="13" t="n">
        <v>-0.005</v>
      </c>
      <c r="H34" s="14" t="n">
        <v>0.352343206472679</v>
      </c>
      <c r="I34" s="14" t="n">
        <v>0.240006344570722</v>
      </c>
      <c r="J34" s="14" t="n">
        <v>0.407650448956599</v>
      </c>
      <c r="K34" s="12" t="s">
        <v>33</v>
      </c>
      <c r="L34" s="15" t="n">
        <v>857</v>
      </c>
      <c r="M34" s="15" t="n">
        <v>1</v>
      </c>
    </row>
    <row r="35" customFormat="false" ht="15" hidden="false" customHeight="false" outlineLevel="0" collapsed="false">
      <c r="A35" s="12" t="s">
        <v>38</v>
      </c>
      <c r="B35" s="7" t="s">
        <v>39</v>
      </c>
      <c r="C35" s="12" t="s">
        <v>49</v>
      </c>
      <c r="D35" s="7" t="s">
        <v>31</v>
      </c>
      <c r="E35" s="7" t="s">
        <v>31</v>
      </c>
      <c r="F35" s="12" t="n">
        <f aca="false">IF(D35=E35,1,0)</f>
        <v>1</v>
      </c>
      <c r="G35" s="13" t="n">
        <v>0.0285714285714284</v>
      </c>
      <c r="H35" s="14" t="n">
        <v>0.364612227738954</v>
      </c>
      <c r="I35" s="14" t="n">
        <v>0.231683725805347</v>
      </c>
      <c r="J35" s="14" t="n">
        <v>0.403704046455699</v>
      </c>
      <c r="K35" s="12" t="s">
        <v>33</v>
      </c>
      <c r="L35" s="15" t="n">
        <v>857</v>
      </c>
      <c r="M35" s="15" t="n">
        <v>1</v>
      </c>
    </row>
    <row r="36" customFormat="false" ht="15" hidden="false" customHeight="false" outlineLevel="0" collapsed="false">
      <c r="A36" s="12" t="s">
        <v>41</v>
      </c>
      <c r="B36" s="7" t="s">
        <v>42</v>
      </c>
      <c r="C36" s="12" t="s">
        <v>49</v>
      </c>
      <c r="D36" s="7" t="s">
        <v>31</v>
      </c>
      <c r="E36" s="7" t="s">
        <v>32</v>
      </c>
      <c r="F36" s="12" t="n">
        <f aca="false">IF(D36=E36,1,0)</f>
        <v>0</v>
      </c>
      <c r="G36" s="13" t="n">
        <v>-0.0123456790123457</v>
      </c>
      <c r="H36" s="14" t="n">
        <v>0.351354031222292</v>
      </c>
      <c r="I36" s="14" t="n">
        <v>0.239647850073217</v>
      </c>
      <c r="J36" s="14" t="n">
        <v>0.40899811870449</v>
      </c>
      <c r="K36" s="12" t="s">
        <v>33</v>
      </c>
      <c r="L36" s="15" t="n">
        <v>857</v>
      </c>
      <c r="M36" s="15" t="n">
        <v>1</v>
      </c>
    </row>
    <row r="37" customFormat="false" ht="15" hidden="false" customHeight="false" outlineLevel="0" collapsed="false">
      <c r="A37" s="12" t="s">
        <v>43</v>
      </c>
      <c r="B37" s="7" t="s">
        <v>44</v>
      </c>
      <c r="C37" s="12" t="s">
        <v>49</v>
      </c>
      <c r="D37" s="7" t="s">
        <v>31</v>
      </c>
      <c r="E37" s="7" t="s">
        <v>32</v>
      </c>
      <c r="F37" s="12" t="n">
        <f aca="false">IF(D37=E37,1,0)</f>
        <v>0</v>
      </c>
      <c r="G37" s="13" t="n">
        <v>-0.0123456790123457</v>
      </c>
      <c r="H37" s="14" t="n">
        <v>0.354490639221674</v>
      </c>
      <c r="I37" s="14" t="n">
        <v>0.235374396984629</v>
      </c>
      <c r="J37" s="14" t="n">
        <v>0.410134963793697</v>
      </c>
      <c r="K37" s="12" t="s">
        <v>33</v>
      </c>
      <c r="L37" s="15" t="n">
        <v>857</v>
      </c>
      <c r="M37" s="15" t="n">
        <v>1</v>
      </c>
    </row>
    <row r="38" customFormat="false" ht="15" hidden="false" customHeight="false" outlineLevel="0" collapsed="false">
      <c r="A38" s="12" t="s">
        <v>28</v>
      </c>
      <c r="B38" s="7" t="s">
        <v>29</v>
      </c>
      <c r="C38" s="12" t="s">
        <v>50</v>
      </c>
      <c r="D38" s="7" t="s">
        <v>31</v>
      </c>
      <c r="E38" s="7" t="s">
        <v>31</v>
      </c>
      <c r="F38" s="12" t="n">
        <f aca="false">IF(D38=E38,1,0)</f>
        <v>1</v>
      </c>
      <c r="G38" s="13" t="n">
        <v>0.0057471264367816</v>
      </c>
      <c r="H38" s="14" t="n">
        <v>0.360609681439315</v>
      </c>
      <c r="I38" s="14" t="n">
        <v>0.226132133836723</v>
      </c>
      <c r="J38" s="14" t="n">
        <v>0.413258184723962</v>
      </c>
      <c r="K38" s="12" t="s">
        <v>33</v>
      </c>
      <c r="L38" s="15" t="n">
        <v>857</v>
      </c>
      <c r="M38" s="15" t="n">
        <v>1</v>
      </c>
    </row>
    <row r="39" customFormat="false" ht="15" hidden="false" customHeight="false" outlineLevel="0" collapsed="false">
      <c r="A39" s="12" t="s">
        <v>34</v>
      </c>
      <c r="B39" s="7" t="s">
        <v>35</v>
      </c>
      <c r="C39" s="12" t="s">
        <v>50</v>
      </c>
      <c r="D39" s="7" t="s">
        <v>31</v>
      </c>
      <c r="E39" s="7" t="s">
        <v>31</v>
      </c>
      <c r="F39" s="12" t="n">
        <f aca="false">IF(D39=E39,1,0)</f>
        <v>1</v>
      </c>
      <c r="G39" s="13" t="n">
        <v>0.0375</v>
      </c>
      <c r="H39" s="14" t="n">
        <v>0.352689755611705</v>
      </c>
      <c r="I39" s="14" t="n">
        <v>0.23603105964437</v>
      </c>
      <c r="J39" s="14" t="n">
        <v>0.411279184743925</v>
      </c>
      <c r="K39" s="12" t="s">
        <v>33</v>
      </c>
      <c r="L39" s="15" t="n">
        <v>857</v>
      </c>
      <c r="M39" s="15" t="n">
        <v>1</v>
      </c>
    </row>
    <row r="40" customFormat="false" ht="15" hidden="false" customHeight="false" outlineLevel="0" collapsed="false">
      <c r="A40" s="12" t="s">
        <v>36</v>
      </c>
      <c r="B40" s="7" t="s">
        <v>37</v>
      </c>
      <c r="C40" s="12" t="s">
        <v>50</v>
      </c>
      <c r="D40" s="7" t="s">
        <v>31</v>
      </c>
      <c r="E40" s="7" t="s">
        <v>31</v>
      </c>
      <c r="F40" s="12" t="n">
        <f aca="false">IF(D40=E40,1,0)</f>
        <v>1</v>
      </c>
      <c r="G40" s="13" t="n">
        <v>0.0326633165829146</v>
      </c>
      <c r="H40" s="14" t="n">
        <v>0.352552510052821</v>
      </c>
      <c r="I40" s="14" t="n">
        <v>0.239928781596508</v>
      </c>
      <c r="J40" s="14" t="n">
        <v>0.407518708350671</v>
      </c>
      <c r="K40" s="12" t="s">
        <v>33</v>
      </c>
      <c r="L40" s="15" t="n">
        <v>857</v>
      </c>
      <c r="M40" s="15" t="n">
        <v>1</v>
      </c>
    </row>
    <row r="41" customFormat="false" ht="15" hidden="false" customHeight="false" outlineLevel="0" collapsed="false">
      <c r="A41" s="12" t="s">
        <v>38</v>
      </c>
      <c r="B41" s="7" t="s">
        <v>39</v>
      </c>
      <c r="C41" s="12" t="s">
        <v>50</v>
      </c>
      <c r="D41" s="7" t="s">
        <v>31</v>
      </c>
      <c r="E41" s="7" t="s">
        <v>31</v>
      </c>
      <c r="F41" s="12" t="n">
        <f aca="false">IF(D41=E41,1,0)</f>
        <v>1</v>
      </c>
      <c r="G41" s="13" t="n">
        <v>0.0617283950617284</v>
      </c>
      <c r="H41" s="14" t="n">
        <v>0.352689755611705</v>
      </c>
      <c r="I41" s="14" t="n">
        <v>0.23603105964437</v>
      </c>
      <c r="J41" s="14" t="n">
        <v>0.411279184743925</v>
      </c>
      <c r="K41" s="12" t="s">
        <v>33</v>
      </c>
      <c r="L41" s="15" t="n">
        <v>857</v>
      </c>
      <c r="M41" s="15" t="n">
        <v>1</v>
      </c>
    </row>
    <row r="42" customFormat="false" ht="15" hidden="false" customHeight="false" outlineLevel="0" collapsed="false">
      <c r="A42" s="12" t="s">
        <v>41</v>
      </c>
      <c r="B42" s="7" t="s">
        <v>42</v>
      </c>
      <c r="C42" s="12" t="s">
        <v>50</v>
      </c>
      <c r="D42" s="7" t="s">
        <v>31</v>
      </c>
      <c r="E42" s="7" t="s">
        <v>40</v>
      </c>
      <c r="F42" s="12" t="n">
        <f aca="false">IF(D42=E42,1,0)</f>
        <v>0</v>
      </c>
      <c r="G42" s="13" t="n">
        <v>0.0049999999999998</v>
      </c>
      <c r="H42" s="14" t="n">
        <v>0.349859856822005</v>
      </c>
      <c r="I42" s="14" t="n">
        <v>0.240199885698041</v>
      </c>
      <c r="J42" s="14" t="n">
        <v>0.409940257479954</v>
      </c>
      <c r="K42" s="12" t="s">
        <v>33</v>
      </c>
      <c r="L42" s="15" t="n">
        <v>857</v>
      </c>
      <c r="M42" s="15" t="n">
        <v>1</v>
      </c>
    </row>
    <row r="43" customFormat="false" ht="15" hidden="false" customHeight="false" outlineLevel="0" collapsed="false">
      <c r="A43" s="12" t="s">
        <v>43</v>
      </c>
      <c r="B43" s="7" t="s">
        <v>44</v>
      </c>
      <c r="C43" s="12" t="s">
        <v>50</v>
      </c>
      <c r="D43" s="7" t="s">
        <v>31</v>
      </c>
      <c r="E43" s="7" t="s">
        <v>31</v>
      </c>
      <c r="F43" s="12" t="n">
        <f aca="false">IF(D43=E43,1,0)</f>
        <v>1</v>
      </c>
      <c r="G43" s="13" t="n">
        <v>0.0097222222222221</v>
      </c>
      <c r="H43" s="14" t="n">
        <v>0.365590613012049</v>
      </c>
      <c r="I43" s="14" t="n">
        <v>0.235097167904419</v>
      </c>
      <c r="J43" s="14" t="n">
        <v>0.399312219083532</v>
      </c>
      <c r="K43" s="12" t="s">
        <v>33</v>
      </c>
      <c r="L43" s="15" t="n">
        <v>857</v>
      </c>
      <c r="M43" s="15" t="n">
        <v>1</v>
      </c>
    </row>
    <row r="44" customFormat="false" ht="15" hidden="false" customHeight="false" outlineLevel="0" collapsed="false">
      <c r="A44" s="12" t="s">
        <v>28</v>
      </c>
      <c r="B44" s="7" t="s">
        <v>29</v>
      </c>
      <c r="C44" s="12" t="s">
        <v>51</v>
      </c>
      <c r="D44" s="7" t="s">
        <v>31</v>
      </c>
      <c r="E44" s="7" t="s">
        <v>31</v>
      </c>
      <c r="F44" s="12" t="n">
        <f aca="false">IF(D44=E44,1,0)</f>
        <v>1</v>
      </c>
      <c r="G44" s="13" t="n">
        <v>0.02</v>
      </c>
      <c r="H44" s="14" t="n">
        <v>0.353695057534422</v>
      </c>
      <c r="I44" s="14" t="n">
        <v>0.228577617624797</v>
      </c>
      <c r="J44" s="14" t="n">
        <v>0.417727324840781</v>
      </c>
      <c r="K44" s="12" t="s">
        <v>33</v>
      </c>
      <c r="L44" s="15" t="n">
        <v>857</v>
      </c>
      <c r="M44" s="15" t="n">
        <v>1</v>
      </c>
    </row>
    <row r="45" customFormat="false" ht="15" hidden="false" customHeight="false" outlineLevel="0" collapsed="false">
      <c r="A45" s="12" t="s">
        <v>34</v>
      </c>
      <c r="B45" s="7" t="s">
        <v>35</v>
      </c>
      <c r="C45" s="12" t="s">
        <v>51</v>
      </c>
      <c r="D45" s="7" t="s">
        <v>31</v>
      </c>
      <c r="E45" s="7" t="s">
        <v>40</v>
      </c>
      <c r="F45" s="12" t="n">
        <f aca="false">IF(D45=E45,1,0)</f>
        <v>0</v>
      </c>
      <c r="G45" s="13" t="n">
        <v>0</v>
      </c>
      <c r="H45" s="14" t="n">
        <v>0.352689755611705</v>
      </c>
      <c r="I45" s="14" t="n">
        <v>0.23603105964437</v>
      </c>
      <c r="J45" s="14" t="n">
        <v>0.411279184743925</v>
      </c>
      <c r="K45" s="12" t="s">
        <v>33</v>
      </c>
      <c r="L45" s="15" t="n">
        <v>857</v>
      </c>
      <c r="M45" s="15" t="n">
        <v>1</v>
      </c>
    </row>
    <row r="46" customFormat="false" ht="15" hidden="false" customHeight="false" outlineLevel="0" collapsed="false">
      <c r="A46" s="12" t="s">
        <v>36</v>
      </c>
      <c r="B46" s="7" t="s">
        <v>37</v>
      </c>
      <c r="C46" s="12" t="s">
        <v>51</v>
      </c>
      <c r="D46" s="7" t="s">
        <v>31</v>
      </c>
      <c r="E46" s="7" t="s">
        <v>31</v>
      </c>
      <c r="F46" s="12" t="n">
        <f aca="false">IF(D46=E46,1,0)</f>
        <v>1</v>
      </c>
      <c r="G46" s="13" t="n">
        <v>0.0121654501216545</v>
      </c>
      <c r="H46" s="14" t="n">
        <v>0.360798465960033</v>
      </c>
      <c r="I46" s="14" t="n">
        <v>0.233074351462385</v>
      </c>
      <c r="J46" s="14" t="n">
        <v>0.406127182577582</v>
      </c>
      <c r="K46" s="12" t="s">
        <v>33</v>
      </c>
      <c r="L46" s="15" t="n">
        <v>857</v>
      </c>
      <c r="M46" s="15" t="n">
        <v>1</v>
      </c>
    </row>
    <row r="47" customFormat="false" ht="15" hidden="false" customHeight="false" outlineLevel="0" collapsed="false">
      <c r="A47" s="12" t="s">
        <v>38</v>
      </c>
      <c r="B47" s="7" t="s">
        <v>39</v>
      </c>
      <c r="C47" s="12" t="s">
        <v>51</v>
      </c>
      <c r="D47" s="7" t="s">
        <v>31</v>
      </c>
      <c r="E47" s="7" t="s">
        <v>31</v>
      </c>
      <c r="F47" s="12" t="n">
        <f aca="false">IF(D47=E47,1,0)</f>
        <v>1</v>
      </c>
      <c r="G47" s="13" t="n">
        <v>0.0406976744186047</v>
      </c>
      <c r="H47" s="14" t="n">
        <v>0.345691873875246</v>
      </c>
      <c r="I47" s="14" t="n">
        <v>0.231347857438347</v>
      </c>
      <c r="J47" s="14" t="n">
        <v>0.422960268686408</v>
      </c>
      <c r="K47" s="12" t="s">
        <v>33</v>
      </c>
      <c r="L47" s="15" t="n">
        <v>857</v>
      </c>
      <c r="M47" s="15" t="n">
        <v>1</v>
      </c>
    </row>
    <row r="48" customFormat="false" ht="15" hidden="false" customHeight="false" outlineLevel="0" collapsed="false">
      <c r="A48" s="12" t="s">
        <v>41</v>
      </c>
      <c r="B48" s="7" t="s">
        <v>42</v>
      </c>
      <c r="C48" s="12" t="s">
        <v>51</v>
      </c>
      <c r="D48" s="7" t="s">
        <v>31</v>
      </c>
      <c r="E48" s="7" t="s">
        <v>31</v>
      </c>
      <c r="F48" s="12" t="n">
        <f aca="false">IF(D48=E48,1,0)</f>
        <v>1</v>
      </c>
      <c r="G48" s="13" t="n">
        <v>0.0099502487562188</v>
      </c>
      <c r="H48" s="14" t="n">
        <v>0.345967688537742</v>
      </c>
      <c r="I48" s="14" t="n">
        <v>0.241637880854635</v>
      </c>
      <c r="J48" s="14" t="n">
        <v>0.412394430607623</v>
      </c>
      <c r="K48" s="12" t="s">
        <v>33</v>
      </c>
      <c r="L48" s="15" t="n">
        <v>857</v>
      </c>
      <c r="M48" s="15" t="n">
        <v>1</v>
      </c>
    </row>
    <row r="49" customFormat="false" ht="15" hidden="false" customHeight="false" outlineLevel="0" collapsed="false">
      <c r="A49" s="12" t="s">
        <v>43</v>
      </c>
      <c r="B49" s="7" t="s">
        <v>44</v>
      </c>
      <c r="C49" s="12" t="s">
        <v>51</v>
      </c>
      <c r="D49" s="7" t="s">
        <v>31</v>
      </c>
      <c r="E49" s="7" t="s">
        <v>40</v>
      </c>
      <c r="F49" s="12" t="n">
        <f aca="false">IF(D49=E49,1,0)</f>
        <v>0</v>
      </c>
      <c r="G49" s="13" t="n">
        <v>0.0027510316368639</v>
      </c>
      <c r="H49" s="14" t="n">
        <v>0.365590613012049</v>
      </c>
      <c r="I49" s="14" t="n">
        <v>0.235097167904419</v>
      </c>
      <c r="J49" s="14" t="n">
        <v>0.399312219083532</v>
      </c>
      <c r="K49" s="12" t="s">
        <v>33</v>
      </c>
      <c r="L49" s="15" t="n">
        <v>857</v>
      </c>
      <c r="M49" s="15" t="n">
        <v>1</v>
      </c>
    </row>
    <row r="50" customFormat="false" ht="15" hidden="false" customHeight="false" outlineLevel="0" collapsed="false">
      <c r="A50" s="12" t="s">
        <v>28</v>
      </c>
      <c r="B50" s="7" t="s">
        <v>29</v>
      </c>
      <c r="C50" s="12" t="s">
        <v>52</v>
      </c>
      <c r="D50" s="7" t="s">
        <v>31</v>
      </c>
      <c r="E50" s="7" t="s">
        <v>31</v>
      </c>
      <c r="F50" s="12" t="n">
        <f aca="false">IF(D50=E50,1,0)</f>
        <v>1</v>
      </c>
      <c r="G50" s="13" t="n">
        <v>0.0336134453781513</v>
      </c>
      <c r="H50" s="14" t="n">
        <v>0.357508761908858</v>
      </c>
      <c r="I50" s="14" t="n">
        <v>0.231042247654718</v>
      </c>
      <c r="J50" s="14" t="n">
        <v>0.411448990436424</v>
      </c>
      <c r="K50" s="12" t="s">
        <v>33</v>
      </c>
      <c r="L50" s="15" t="n">
        <v>857</v>
      </c>
      <c r="M50" s="15" t="n">
        <v>1</v>
      </c>
    </row>
    <row r="51" customFormat="false" ht="15" hidden="false" customHeight="false" outlineLevel="0" collapsed="false">
      <c r="A51" s="12" t="s">
        <v>34</v>
      </c>
      <c r="B51" s="7" t="s">
        <v>35</v>
      </c>
      <c r="C51" s="12" t="s">
        <v>52</v>
      </c>
      <c r="D51" s="7" t="s">
        <v>31</v>
      </c>
      <c r="E51" s="7" t="s">
        <v>40</v>
      </c>
      <c r="F51" s="12" t="n">
        <f aca="false">IF(D51=E51,1,0)</f>
        <v>0</v>
      </c>
      <c r="G51" s="13" t="n">
        <v>-0.0024096385542168</v>
      </c>
      <c r="H51" s="14" t="n">
        <v>0.355249274471446</v>
      </c>
      <c r="I51" s="14" t="n">
        <v>0.230486830247332</v>
      </c>
      <c r="J51" s="14" t="n">
        <v>0.414263895281222</v>
      </c>
      <c r="K51" s="12" t="s">
        <v>33</v>
      </c>
      <c r="L51" s="15" t="n">
        <v>857</v>
      </c>
      <c r="M51" s="15" t="n">
        <v>1</v>
      </c>
    </row>
    <row r="52" customFormat="false" ht="15" hidden="false" customHeight="false" outlineLevel="0" collapsed="false">
      <c r="A52" s="12" t="s">
        <v>36</v>
      </c>
      <c r="B52" s="7" t="s">
        <v>37</v>
      </c>
      <c r="C52" s="12" t="s">
        <v>52</v>
      </c>
      <c r="D52" s="7" t="s">
        <v>31</v>
      </c>
      <c r="E52" s="7" t="s">
        <v>40</v>
      </c>
      <c r="F52" s="12" t="n">
        <f aca="false">IF(D52=E52,1,0)</f>
        <v>0</v>
      </c>
      <c r="G52" s="13" t="n">
        <v>0.0024038461538462</v>
      </c>
      <c r="H52" s="14" t="n">
        <v>0.360798465960033</v>
      </c>
      <c r="I52" s="14" t="n">
        <v>0.233074351462385</v>
      </c>
      <c r="J52" s="14" t="n">
        <v>0.406127182577582</v>
      </c>
      <c r="K52" s="12" t="s">
        <v>33</v>
      </c>
      <c r="L52" s="15" t="n">
        <v>857</v>
      </c>
      <c r="M52" s="15" t="n">
        <v>1</v>
      </c>
    </row>
    <row r="53" customFormat="false" ht="15" hidden="false" customHeight="false" outlineLevel="0" collapsed="false">
      <c r="A53" s="12" t="s">
        <v>38</v>
      </c>
      <c r="B53" s="7" t="s">
        <v>39</v>
      </c>
      <c r="C53" s="12" t="s">
        <v>52</v>
      </c>
      <c r="D53" s="7" t="s">
        <v>31</v>
      </c>
      <c r="E53" s="7" t="s">
        <v>31</v>
      </c>
      <c r="F53" s="12" t="n">
        <f aca="false">IF(D53=E53,1,0)</f>
        <v>1</v>
      </c>
      <c r="G53" s="13" t="n">
        <v>0.058659217877095</v>
      </c>
      <c r="H53" s="14" t="n">
        <v>0.363383796165355</v>
      </c>
      <c r="I53" s="14" t="n">
        <v>0.227578884514863</v>
      </c>
      <c r="J53" s="14" t="n">
        <v>0.409037319319782</v>
      </c>
      <c r="K53" s="12" t="s">
        <v>33</v>
      </c>
      <c r="L53" s="15" t="n">
        <v>857</v>
      </c>
      <c r="M53" s="15" t="n">
        <v>1</v>
      </c>
    </row>
    <row r="54" customFormat="false" ht="15" hidden="false" customHeight="false" outlineLevel="0" collapsed="false">
      <c r="A54" s="12" t="s">
        <v>41</v>
      </c>
      <c r="B54" s="7" t="s">
        <v>42</v>
      </c>
      <c r="C54" s="12" t="s">
        <v>52</v>
      </c>
      <c r="D54" s="7" t="s">
        <v>31</v>
      </c>
      <c r="E54" s="7" t="s">
        <v>32</v>
      </c>
      <c r="F54" s="12" t="n">
        <f aca="false">IF(D54=E54,1,0)</f>
        <v>0</v>
      </c>
      <c r="G54" s="13" t="n">
        <v>-0.0073891625615764</v>
      </c>
      <c r="H54" s="14" t="n">
        <v>0.344931265171105</v>
      </c>
      <c r="I54" s="14" t="n">
        <v>0.236816110371679</v>
      </c>
      <c r="J54" s="14" t="n">
        <v>0.418252624457216</v>
      </c>
      <c r="K54" s="12" t="s">
        <v>33</v>
      </c>
      <c r="L54" s="15" t="n">
        <v>857</v>
      </c>
      <c r="M54" s="15" t="n">
        <v>1</v>
      </c>
    </row>
    <row r="55" customFormat="false" ht="15" hidden="false" customHeight="false" outlineLevel="0" collapsed="false">
      <c r="A55" s="12" t="s">
        <v>43</v>
      </c>
      <c r="B55" s="7" t="s">
        <v>44</v>
      </c>
      <c r="C55" s="12" t="s">
        <v>52</v>
      </c>
      <c r="D55" s="7" t="s">
        <v>31</v>
      </c>
      <c r="E55" s="7" t="s">
        <v>31</v>
      </c>
      <c r="F55" s="12" t="n">
        <f aca="false">IF(D55=E55,1,0)</f>
        <v>1</v>
      </c>
      <c r="G55" s="13" t="n">
        <v>0.0178326474622769</v>
      </c>
      <c r="H55" s="14" t="n">
        <v>0.344931265171105</v>
      </c>
      <c r="I55" s="14" t="n">
        <v>0.236816110371679</v>
      </c>
      <c r="J55" s="14" t="n">
        <v>0.418252624457216</v>
      </c>
      <c r="K55" s="12" t="s">
        <v>33</v>
      </c>
      <c r="L55" s="15" t="n">
        <v>857</v>
      </c>
      <c r="M55" s="15" t="n">
        <v>1</v>
      </c>
    </row>
    <row r="56" customFormat="false" ht="15" hidden="false" customHeight="false" outlineLevel="0" collapsed="false">
      <c r="A56" s="12" t="s">
        <v>28</v>
      </c>
      <c r="B56" s="7" t="s">
        <v>29</v>
      </c>
      <c r="C56" s="12" t="s">
        <v>53</v>
      </c>
      <c r="D56" s="7" t="s">
        <v>31</v>
      </c>
      <c r="E56" s="7" t="s">
        <v>40</v>
      </c>
      <c r="F56" s="12" t="n">
        <f aca="false">IF(D56=E56,1,0)</f>
        <v>0</v>
      </c>
      <c r="G56" s="13" t="n">
        <v>-0.002710027100271</v>
      </c>
      <c r="H56" s="14" t="n">
        <v>0.351226846423228</v>
      </c>
      <c r="I56" s="14" t="n">
        <v>0.233301247913911</v>
      </c>
      <c r="J56" s="14" t="n">
        <v>0.415471905662861</v>
      </c>
      <c r="K56" s="12" t="s">
        <v>33</v>
      </c>
      <c r="L56" s="15" t="n">
        <v>857</v>
      </c>
      <c r="M56" s="15" t="n">
        <v>1</v>
      </c>
    </row>
    <row r="57" customFormat="false" ht="15" hidden="false" customHeight="false" outlineLevel="0" collapsed="false">
      <c r="A57" s="12" t="s">
        <v>34</v>
      </c>
      <c r="B57" s="7" t="s">
        <v>35</v>
      </c>
      <c r="C57" s="12" t="s">
        <v>53</v>
      </c>
      <c r="D57" s="7" t="s">
        <v>31</v>
      </c>
      <c r="E57" s="7" t="s">
        <v>40</v>
      </c>
      <c r="F57" s="12" t="n">
        <f aca="false">IF(D57=E57,1,0)</f>
        <v>0</v>
      </c>
      <c r="G57" s="13" t="n">
        <v>-0.0048309178743961</v>
      </c>
      <c r="H57" s="14" t="n">
        <v>0.354490639221674</v>
      </c>
      <c r="I57" s="14" t="n">
        <v>0.235374396984629</v>
      </c>
      <c r="J57" s="14" t="n">
        <v>0.410134963793697</v>
      </c>
      <c r="K57" s="12" t="s">
        <v>33</v>
      </c>
      <c r="L57" s="15" t="n">
        <v>857</v>
      </c>
      <c r="M57" s="15" t="n">
        <v>1</v>
      </c>
    </row>
    <row r="58" customFormat="false" ht="15" hidden="false" customHeight="false" outlineLevel="0" collapsed="false">
      <c r="A58" s="12" t="s">
        <v>36</v>
      </c>
      <c r="B58" s="7" t="s">
        <v>37</v>
      </c>
      <c r="C58" s="12" t="s">
        <v>53</v>
      </c>
      <c r="D58" s="7" t="s">
        <v>31</v>
      </c>
      <c r="E58" s="7" t="s">
        <v>32</v>
      </c>
      <c r="F58" s="12" t="n">
        <f aca="false">IF(D58=E58,1,0)</f>
        <v>0</v>
      </c>
      <c r="G58" s="13" t="n">
        <v>-0.0263788968824939</v>
      </c>
      <c r="H58" s="14" t="n">
        <v>0.351226846423228</v>
      </c>
      <c r="I58" s="14" t="n">
        <v>0.233301247913911</v>
      </c>
      <c r="J58" s="14" t="n">
        <v>0.415471905662861</v>
      </c>
      <c r="K58" s="12" t="s">
        <v>33</v>
      </c>
      <c r="L58" s="15" t="n">
        <v>857</v>
      </c>
      <c r="M58" s="15" t="n">
        <v>1</v>
      </c>
    </row>
    <row r="59" customFormat="false" ht="15" hidden="false" customHeight="false" outlineLevel="0" collapsed="false">
      <c r="A59" s="12" t="s">
        <v>38</v>
      </c>
      <c r="B59" s="7" t="s">
        <v>39</v>
      </c>
      <c r="C59" s="12" t="s">
        <v>53</v>
      </c>
      <c r="D59" s="7" t="s">
        <v>31</v>
      </c>
      <c r="E59" s="7" t="s">
        <v>31</v>
      </c>
      <c r="F59" s="12" t="n">
        <f aca="false">IF(D59=E59,1,0)</f>
        <v>1</v>
      </c>
      <c r="G59" s="13" t="n">
        <v>0.0158311345646438</v>
      </c>
      <c r="H59" s="14" t="n">
        <v>0.357056018345749</v>
      </c>
      <c r="I59" s="14" t="n">
        <v>0.229840951689669</v>
      </c>
      <c r="J59" s="14" t="n">
        <v>0.413103029964583</v>
      </c>
      <c r="K59" s="12" t="s">
        <v>33</v>
      </c>
      <c r="L59" s="15" t="n">
        <v>857</v>
      </c>
      <c r="M59" s="15" t="n">
        <v>1</v>
      </c>
    </row>
    <row r="60" customFormat="false" ht="15" hidden="false" customHeight="false" outlineLevel="0" collapsed="false">
      <c r="A60" s="12" t="s">
        <v>41</v>
      </c>
      <c r="B60" s="7" t="s">
        <v>42</v>
      </c>
      <c r="C60" s="12" t="s">
        <v>53</v>
      </c>
      <c r="D60" s="7" t="s">
        <v>31</v>
      </c>
      <c r="E60" s="7" t="s">
        <v>32</v>
      </c>
      <c r="F60" s="12" t="n">
        <f aca="false">IF(D60=E60,1,0)</f>
        <v>0</v>
      </c>
      <c r="G60" s="13" t="n">
        <v>-0.0173697270471464</v>
      </c>
      <c r="H60" s="14" t="n">
        <v>0.361357383930206</v>
      </c>
      <c r="I60" s="14" t="n">
        <v>0.22260649809085</v>
      </c>
      <c r="J60" s="14" t="n">
        <v>0.416036117978943</v>
      </c>
      <c r="K60" s="12" t="s">
        <v>33</v>
      </c>
      <c r="L60" s="15" t="n">
        <v>857</v>
      </c>
      <c r="M60" s="15" t="n">
        <v>1</v>
      </c>
    </row>
    <row r="61" customFormat="false" ht="15" hidden="false" customHeight="false" outlineLevel="0" collapsed="false">
      <c r="A61" s="12" t="s">
        <v>43</v>
      </c>
      <c r="B61" s="7" t="s">
        <v>44</v>
      </c>
      <c r="C61" s="12" t="s">
        <v>53</v>
      </c>
      <c r="D61" s="7" t="s">
        <v>31</v>
      </c>
      <c r="E61" s="7" t="s">
        <v>31</v>
      </c>
      <c r="F61" s="12" t="n">
        <f aca="false">IF(D61=E61,1,0)</f>
        <v>1</v>
      </c>
      <c r="G61" s="13" t="n">
        <v>0.0107816711590296</v>
      </c>
      <c r="H61" s="14" t="n">
        <v>0.351276196930316</v>
      </c>
      <c r="I61" s="14" t="n">
        <v>0.226120416013295</v>
      </c>
      <c r="J61" s="14" t="n">
        <v>0.422603387056389</v>
      </c>
      <c r="K61" s="12" t="s">
        <v>33</v>
      </c>
      <c r="L61" s="15" t="n">
        <v>857</v>
      </c>
      <c r="M61" s="15" t="n">
        <v>1</v>
      </c>
    </row>
    <row r="62" customFormat="false" ht="15" hidden="false" customHeight="false" outlineLevel="0" collapsed="false">
      <c r="A62" s="12" t="s">
        <v>28</v>
      </c>
      <c r="B62" s="7" t="s">
        <v>29</v>
      </c>
      <c r="C62" s="12" t="s">
        <v>54</v>
      </c>
      <c r="D62" s="7" t="s">
        <v>31</v>
      </c>
      <c r="E62" s="7" t="s">
        <v>31</v>
      </c>
      <c r="F62" s="12" t="n">
        <f aca="false">IF(D62=E62,1,0)</f>
        <v>1</v>
      </c>
      <c r="G62" s="13" t="n">
        <v>0.0326086956521738</v>
      </c>
      <c r="H62" s="14" t="n">
        <v>0.351226846423228</v>
      </c>
      <c r="I62" s="14" t="n">
        <v>0.233301247913911</v>
      </c>
      <c r="J62" s="14" t="n">
        <v>0.415471905662861</v>
      </c>
      <c r="K62" s="12" t="s">
        <v>33</v>
      </c>
      <c r="L62" s="15" t="n">
        <v>857</v>
      </c>
      <c r="M62" s="15" t="n">
        <v>1</v>
      </c>
    </row>
    <row r="63" customFormat="false" ht="15" hidden="false" customHeight="false" outlineLevel="0" collapsed="false">
      <c r="A63" s="12" t="s">
        <v>34</v>
      </c>
      <c r="B63" s="7" t="s">
        <v>35</v>
      </c>
      <c r="C63" s="12" t="s">
        <v>54</v>
      </c>
      <c r="D63" s="7" t="s">
        <v>31</v>
      </c>
      <c r="E63" s="7" t="s">
        <v>31</v>
      </c>
      <c r="F63" s="12" t="n">
        <f aca="false">IF(D63=E63,1,0)</f>
        <v>1</v>
      </c>
      <c r="G63" s="13" t="n">
        <v>0.0072815533980583</v>
      </c>
      <c r="H63" s="14" t="n">
        <v>0.354490639221674</v>
      </c>
      <c r="I63" s="14" t="n">
        <v>0.235374396984629</v>
      </c>
      <c r="J63" s="14" t="n">
        <v>0.410134963793697</v>
      </c>
      <c r="K63" s="12" t="s">
        <v>33</v>
      </c>
      <c r="L63" s="15" t="n">
        <v>857</v>
      </c>
      <c r="M63" s="15" t="n">
        <v>1</v>
      </c>
    </row>
    <row r="64" customFormat="false" ht="15" hidden="false" customHeight="false" outlineLevel="0" collapsed="false">
      <c r="A64" s="12" t="s">
        <v>36</v>
      </c>
      <c r="B64" s="7" t="s">
        <v>37</v>
      </c>
      <c r="C64" s="12" t="s">
        <v>54</v>
      </c>
      <c r="D64" s="7" t="s">
        <v>31</v>
      </c>
      <c r="E64" s="7" t="s">
        <v>40</v>
      </c>
      <c r="F64" s="12" t="n">
        <f aca="false">IF(D64=E64,1,0)</f>
        <v>0</v>
      </c>
      <c r="G64" s="13" t="n">
        <v>-0.0024630541871921</v>
      </c>
      <c r="H64" s="14" t="n">
        <v>0.351435846693963</v>
      </c>
      <c r="I64" s="14" t="n">
        <v>0.233226090636351</v>
      </c>
      <c r="J64" s="14" t="n">
        <v>0.415338062669687</v>
      </c>
      <c r="K64" s="12" t="s">
        <v>33</v>
      </c>
      <c r="L64" s="15" t="n">
        <v>857</v>
      </c>
      <c r="M64" s="15" t="n">
        <v>1</v>
      </c>
    </row>
    <row r="65" customFormat="false" ht="15" hidden="false" customHeight="false" outlineLevel="0" collapsed="false">
      <c r="A65" s="12" t="s">
        <v>38</v>
      </c>
      <c r="B65" s="7" t="s">
        <v>39</v>
      </c>
      <c r="C65" s="12" t="s">
        <v>54</v>
      </c>
      <c r="D65" s="7" t="s">
        <v>31</v>
      </c>
      <c r="E65" s="7" t="s">
        <v>32</v>
      </c>
      <c r="F65" s="12" t="n">
        <f aca="false">IF(D65=E65,1,0)</f>
        <v>0</v>
      </c>
      <c r="G65" s="13" t="n">
        <v>-0.0129870129870129</v>
      </c>
      <c r="H65" s="14" t="n">
        <v>0.354490639221674</v>
      </c>
      <c r="I65" s="14" t="n">
        <v>0.235374396984629</v>
      </c>
      <c r="J65" s="14" t="n">
        <v>0.410134963793697</v>
      </c>
      <c r="K65" s="12" t="s">
        <v>33</v>
      </c>
      <c r="L65" s="15" t="n">
        <v>857</v>
      </c>
      <c r="M65" s="15" t="n">
        <v>1</v>
      </c>
    </row>
    <row r="66" customFormat="false" ht="15" hidden="false" customHeight="false" outlineLevel="0" collapsed="false">
      <c r="A66" s="12" t="s">
        <v>41</v>
      </c>
      <c r="B66" s="7" t="s">
        <v>42</v>
      </c>
      <c r="C66" s="12" t="s">
        <v>54</v>
      </c>
      <c r="D66" s="7" t="s">
        <v>31</v>
      </c>
      <c r="E66" s="7" t="s">
        <v>32</v>
      </c>
      <c r="F66" s="12" t="n">
        <f aca="false">IF(D66=E66,1,0)</f>
        <v>0</v>
      </c>
      <c r="G66" s="13" t="n">
        <v>-0.005050505050505</v>
      </c>
      <c r="H66" s="14" t="n">
        <v>0.361357383930206</v>
      </c>
      <c r="I66" s="14" t="n">
        <v>0.22260649809085</v>
      </c>
      <c r="J66" s="14" t="n">
        <v>0.416036117978943</v>
      </c>
      <c r="K66" s="12" t="s">
        <v>33</v>
      </c>
      <c r="L66" s="15" t="n">
        <v>857</v>
      </c>
      <c r="M66" s="15" t="n">
        <v>1</v>
      </c>
    </row>
    <row r="67" customFormat="false" ht="15" hidden="false" customHeight="false" outlineLevel="0" collapsed="false">
      <c r="A67" s="12" t="s">
        <v>43</v>
      </c>
      <c r="B67" s="7" t="s">
        <v>44</v>
      </c>
      <c r="C67" s="12" t="s">
        <v>54</v>
      </c>
      <c r="D67" s="7" t="s">
        <v>31</v>
      </c>
      <c r="E67" s="7" t="s">
        <v>32</v>
      </c>
      <c r="F67" s="12" t="n">
        <f aca="false">IF(D67=E67,1,0)</f>
        <v>0</v>
      </c>
      <c r="G67" s="13" t="n">
        <v>-0.0053333333333334</v>
      </c>
      <c r="H67" s="14" t="n">
        <v>0.348792910597178</v>
      </c>
      <c r="I67" s="14" t="n">
        <v>0.231591223916598</v>
      </c>
      <c r="J67" s="14" t="n">
        <v>0.419615865486224</v>
      </c>
      <c r="K67" s="12" t="s">
        <v>33</v>
      </c>
      <c r="L67" s="15" t="n">
        <v>857</v>
      </c>
      <c r="M67" s="15" t="n">
        <v>1</v>
      </c>
    </row>
    <row r="68" customFormat="false" ht="15" hidden="false" customHeight="false" outlineLevel="0" collapsed="false">
      <c r="A68" s="12" t="s">
        <v>28</v>
      </c>
      <c r="B68" s="7" t="s">
        <v>29</v>
      </c>
      <c r="C68" s="12" t="s">
        <v>55</v>
      </c>
      <c r="D68" s="7" t="s">
        <v>31</v>
      </c>
      <c r="E68" s="7" t="s">
        <v>31</v>
      </c>
      <c r="F68" s="12" t="n">
        <f aca="false">IF(D68=E68,1,0)</f>
        <v>1</v>
      </c>
      <c r="G68" s="13" t="n">
        <v>0.0605263157894737</v>
      </c>
      <c r="H68" s="14" t="n">
        <v>0.357508761908858</v>
      </c>
      <c r="I68" s="14" t="n">
        <v>0.231042247654718</v>
      </c>
      <c r="J68" s="14" t="n">
        <v>0.411448990436424</v>
      </c>
      <c r="K68" s="12" t="s">
        <v>33</v>
      </c>
      <c r="L68" s="15" t="n">
        <v>857</v>
      </c>
      <c r="M68" s="15" t="n">
        <v>1</v>
      </c>
    </row>
    <row r="69" customFormat="false" ht="15" hidden="false" customHeight="false" outlineLevel="0" collapsed="false">
      <c r="A69" s="12" t="s">
        <v>34</v>
      </c>
      <c r="B69" s="7" t="s">
        <v>35</v>
      </c>
      <c r="C69" s="12" t="s">
        <v>55</v>
      </c>
      <c r="D69" s="7" t="s">
        <v>31</v>
      </c>
      <c r="E69" s="7" t="s">
        <v>31</v>
      </c>
      <c r="F69" s="12" t="n">
        <f aca="false">IF(D69=E69,1,0)</f>
        <v>1</v>
      </c>
      <c r="G69" s="13" t="n">
        <v>0.0168674698795181</v>
      </c>
      <c r="H69" s="14" t="n">
        <v>0.352689755611705</v>
      </c>
      <c r="I69" s="14" t="n">
        <v>0.23603105964437</v>
      </c>
      <c r="J69" s="14" t="n">
        <v>0.411279184743925</v>
      </c>
      <c r="K69" s="12" t="s">
        <v>33</v>
      </c>
      <c r="L69" s="15" t="n">
        <v>857</v>
      </c>
      <c r="M69" s="15" t="n">
        <v>1</v>
      </c>
    </row>
    <row r="70" customFormat="false" ht="15" hidden="false" customHeight="false" outlineLevel="0" collapsed="false">
      <c r="A70" s="12" t="s">
        <v>36</v>
      </c>
      <c r="B70" s="7" t="s">
        <v>37</v>
      </c>
      <c r="C70" s="12" t="s">
        <v>55</v>
      </c>
      <c r="D70" s="7" t="s">
        <v>31</v>
      </c>
      <c r="E70" s="7" t="s">
        <v>31</v>
      </c>
      <c r="F70" s="12" t="n">
        <f aca="false">IF(D70=E70,1,0)</f>
        <v>1</v>
      </c>
      <c r="G70" s="13" t="n">
        <v>0.0123456790123457</v>
      </c>
      <c r="H70" s="14" t="n">
        <v>0.349433567893669</v>
      </c>
      <c r="I70" s="14" t="n">
        <v>0.233946117567497</v>
      </c>
      <c r="J70" s="14" t="n">
        <v>0.416620314538834</v>
      </c>
      <c r="K70" s="12" t="s">
        <v>33</v>
      </c>
      <c r="L70" s="15" t="n">
        <v>857</v>
      </c>
      <c r="M70" s="15" t="n">
        <v>1</v>
      </c>
    </row>
    <row r="71" customFormat="false" ht="15" hidden="false" customHeight="false" outlineLevel="0" collapsed="false">
      <c r="A71" s="12" t="s">
        <v>38</v>
      </c>
      <c r="B71" s="7" t="s">
        <v>39</v>
      </c>
      <c r="C71" s="12" t="s">
        <v>55</v>
      </c>
      <c r="D71" s="7" t="s">
        <v>31</v>
      </c>
      <c r="E71" s="7" t="s">
        <v>31</v>
      </c>
      <c r="F71" s="12" t="n">
        <f aca="false">IF(D71=E71,1,0)</f>
        <v>1</v>
      </c>
      <c r="G71" s="13" t="n">
        <v>0.1</v>
      </c>
      <c r="H71" s="14" t="n">
        <v>0.360798465960033</v>
      </c>
      <c r="I71" s="14" t="n">
        <v>0.233074351462385</v>
      </c>
      <c r="J71" s="14" t="n">
        <v>0.406127182577582</v>
      </c>
      <c r="K71" s="12" t="s">
        <v>33</v>
      </c>
      <c r="L71" s="15" t="n">
        <v>857</v>
      </c>
      <c r="M71" s="15" t="n">
        <v>1</v>
      </c>
    </row>
    <row r="72" customFormat="false" ht="15" hidden="false" customHeight="false" outlineLevel="0" collapsed="false">
      <c r="A72" s="12" t="s">
        <v>41</v>
      </c>
      <c r="B72" s="7" t="s">
        <v>42</v>
      </c>
      <c r="C72" s="12" t="s">
        <v>55</v>
      </c>
      <c r="D72" s="7" t="s">
        <v>31</v>
      </c>
      <c r="E72" s="7" t="s">
        <v>31</v>
      </c>
      <c r="F72" s="12" t="n">
        <f aca="false">IF(D72=E72,1,0)</f>
        <v>1</v>
      </c>
      <c r="G72" s="13" t="n">
        <v>0.0228426395939085</v>
      </c>
      <c r="H72" s="14" t="n">
        <v>0.344931265171105</v>
      </c>
      <c r="I72" s="14" t="n">
        <v>0.236816110371679</v>
      </c>
      <c r="J72" s="14" t="n">
        <v>0.418252624457216</v>
      </c>
      <c r="K72" s="12" t="s">
        <v>33</v>
      </c>
      <c r="L72" s="15" t="n">
        <v>857</v>
      </c>
      <c r="M72" s="15" t="n">
        <v>1</v>
      </c>
    </row>
    <row r="73" customFormat="false" ht="15" hidden="false" customHeight="false" outlineLevel="0" collapsed="false">
      <c r="A73" s="12" t="s">
        <v>43</v>
      </c>
      <c r="B73" s="7" t="s">
        <v>44</v>
      </c>
      <c r="C73" s="12" t="s">
        <v>55</v>
      </c>
      <c r="D73" s="7" t="s">
        <v>31</v>
      </c>
      <c r="E73" s="7" t="s">
        <v>31</v>
      </c>
      <c r="F73" s="12" t="n">
        <f aca="false">IF(D73=E73,1,0)</f>
        <v>1</v>
      </c>
      <c r="G73" s="13" t="n">
        <v>0.0120643431635389</v>
      </c>
      <c r="H73" s="14" t="n">
        <v>0.359867107955397</v>
      </c>
      <c r="I73" s="14" t="n">
        <v>0.231416603411203</v>
      </c>
      <c r="J73" s="14" t="n">
        <v>0.4087162886334</v>
      </c>
      <c r="K73" s="12" t="s">
        <v>33</v>
      </c>
      <c r="L73" s="15" t="n">
        <v>857</v>
      </c>
      <c r="M73" s="15" t="n">
        <v>1</v>
      </c>
    </row>
    <row r="74" customFormat="false" ht="15" hidden="false" customHeight="false" outlineLevel="0" collapsed="false">
      <c r="A74" s="12" t="s">
        <v>28</v>
      </c>
      <c r="B74" s="7" t="s">
        <v>29</v>
      </c>
      <c r="C74" s="12" t="s">
        <v>56</v>
      </c>
      <c r="D74" s="7" t="s">
        <v>31</v>
      </c>
      <c r="E74" s="7" t="s">
        <v>40</v>
      </c>
      <c r="F74" s="12" t="n">
        <f aca="false">IF(D74=E74,1,0)</f>
        <v>0</v>
      </c>
      <c r="G74" s="13" t="n">
        <v>0</v>
      </c>
      <c r="H74" s="14" t="n">
        <v>0.357508761908858</v>
      </c>
      <c r="I74" s="14" t="n">
        <v>0.231042247654718</v>
      </c>
      <c r="J74" s="14" t="n">
        <v>0.411448990436424</v>
      </c>
      <c r="K74" s="12" t="s">
        <v>33</v>
      </c>
      <c r="L74" s="15" t="n">
        <v>857</v>
      </c>
      <c r="M74" s="15" t="n">
        <v>1</v>
      </c>
    </row>
    <row r="75" customFormat="false" ht="15" hidden="false" customHeight="false" outlineLevel="0" collapsed="false">
      <c r="A75" s="12" t="s">
        <v>34</v>
      </c>
      <c r="B75" s="7" t="s">
        <v>35</v>
      </c>
      <c r="C75" s="12" t="s">
        <v>56</v>
      </c>
      <c r="D75" s="7" t="s">
        <v>31</v>
      </c>
      <c r="E75" s="7" t="s">
        <v>31</v>
      </c>
      <c r="F75" s="12" t="n">
        <f aca="false">IF(D75=E75,1,0)</f>
        <v>1</v>
      </c>
      <c r="G75" s="13" t="n">
        <v>0.04739336492891</v>
      </c>
      <c r="H75" s="14" t="n">
        <v>0.352958862649096</v>
      </c>
      <c r="I75" s="14" t="n">
        <v>0.233914026499726</v>
      </c>
      <c r="J75" s="14" t="n">
        <v>0.413127110851177</v>
      </c>
      <c r="K75" s="12" t="s">
        <v>33</v>
      </c>
      <c r="L75" s="15" t="n">
        <v>857</v>
      </c>
      <c r="M75" s="15" t="n">
        <v>1</v>
      </c>
    </row>
    <row r="76" customFormat="false" ht="15" hidden="false" customHeight="false" outlineLevel="0" collapsed="false">
      <c r="A76" s="12" t="s">
        <v>36</v>
      </c>
      <c r="B76" s="7" t="s">
        <v>37</v>
      </c>
      <c r="C76" s="12" t="s">
        <v>56</v>
      </c>
      <c r="D76" s="7" t="s">
        <v>31</v>
      </c>
      <c r="E76" s="7" t="s">
        <v>40</v>
      </c>
      <c r="F76" s="12" t="n">
        <f aca="false">IF(D76=E76,1,0)</f>
        <v>0</v>
      </c>
      <c r="G76" s="13" t="n">
        <v>0</v>
      </c>
      <c r="H76" s="14" t="n">
        <v>0.349433567893669</v>
      </c>
      <c r="I76" s="14" t="n">
        <v>0.233946117567497</v>
      </c>
      <c r="J76" s="14" t="n">
        <v>0.416620314538834</v>
      </c>
      <c r="K76" s="12" t="s">
        <v>33</v>
      </c>
      <c r="L76" s="15" t="n">
        <v>857</v>
      </c>
      <c r="M76" s="15" t="n">
        <v>1</v>
      </c>
    </row>
    <row r="77" customFormat="false" ht="15" hidden="false" customHeight="false" outlineLevel="0" collapsed="false">
      <c r="A77" s="12" t="s">
        <v>38</v>
      </c>
      <c r="B77" s="7" t="s">
        <v>39</v>
      </c>
      <c r="C77" s="12" t="s">
        <v>56</v>
      </c>
      <c r="D77" s="7" t="s">
        <v>31</v>
      </c>
      <c r="E77" s="7" t="s">
        <v>31</v>
      </c>
      <c r="F77" s="12" t="n">
        <f aca="false">IF(D77=E77,1,0)</f>
        <v>1</v>
      </c>
      <c r="G77" s="13" t="n">
        <v>0.0980861244019137</v>
      </c>
      <c r="H77" s="14" t="n">
        <v>0.353727614379667</v>
      </c>
      <c r="I77" s="14" t="n">
        <v>0.22850660990618</v>
      </c>
      <c r="J77" s="14" t="n">
        <v>0.417765775714153</v>
      </c>
      <c r="K77" s="12" t="s">
        <v>33</v>
      </c>
      <c r="L77" s="15" t="n">
        <v>857</v>
      </c>
      <c r="M77" s="15" t="n">
        <v>1</v>
      </c>
    </row>
    <row r="78" customFormat="false" ht="15" hidden="false" customHeight="false" outlineLevel="0" collapsed="false">
      <c r="A78" s="12" t="s">
        <v>41</v>
      </c>
      <c r="B78" s="7" t="s">
        <v>42</v>
      </c>
      <c r="C78" s="12" t="s">
        <v>56</v>
      </c>
      <c r="D78" s="7" t="s">
        <v>31</v>
      </c>
      <c r="E78" s="7" t="s">
        <v>40</v>
      </c>
      <c r="F78" s="12" t="n">
        <f aca="false">IF(D78=E78,1,0)</f>
        <v>0</v>
      </c>
      <c r="G78" s="13" t="n">
        <v>0.0024813895781636</v>
      </c>
      <c r="H78" s="14" t="n">
        <v>0.350547307849924</v>
      </c>
      <c r="I78" s="14" t="n">
        <v>0.240671862276974</v>
      </c>
      <c r="J78" s="14" t="n">
        <v>0.408780829873102</v>
      </c>
      <c r="K78" s="12" t="s">
        <v>33</v>
      </c>
      <c r="L78" s="15" t="n">
        <v>857</v>
      </c>
      <c r="M78" s="15" t="n">
        <v>1</v>
      </c>
    </row>
    <row r="79" customFormat="false" ht="15" hidden="false" customHeight="false" outlineLevel="0" collapsed="false">
      <c r="A79" s="12" t="s">
        <v>43</v>
      </c>
      <c r="B79" s="7" t="s">
        <v>44</v>
      </c>
      <c r="C79" s="12" t="s">
        <v>56</v>
      </c>
      <c r="D79" s="7" t="s">
        <v>31</v>
      </c>
      <c r="E79" s="7" t="s">
        <v>31</v>
      </c>
      <c r="F79" s="12" t="n">
        <f aca="false">IF(D79=E79,1,0)</f>
        <v>1</v>
      </c>
      <c r="G79" s="13" t="n">
        <v>0.005298013245033</v>
      </c>
      <c r="H79" s="14" t="n">
        <v>0.355055117688016</v>
      </c>
      <c r="I79" s="14" t="n">
        <v>0.229364171680548</v>
      </c>
      <c r="J79" s="14" t="n">
        <v>0.415580710631436</v>
      </c>
      <c r="K79" s="12" t="s">
        <v>33</v>
      </c>
      <c r="L79" s="15" t="n">
        <v>857</v>
      </c>
      <c r="M79" s="15" t="n">
        <v>1</v>
      </c>
    </row>
    <row r="80" customFormat="false" ht="15" hidden="false" customHeight="false" outlineLevel="0" collapsed="false">
      <c r="A80" s="12" t="s">
        <v>28</v>
      </c>
      <c r="B80" s="7" t="s">
        <v>29</v>
      </c>
      <c r="C80" s="12" t="s">
        <v>57</v>
      </c>
      <c r="D80" s="7" t="s">
        <v>31</v>
      </c>
      <c r="E80" s="7" t="s">
        <v>32</v>
      </c>
      <c r="F80" s="12" t="n">
        <f aca="false">IF(D80=E80,1,0)</f>
        <v>0</v>
      </c>
      <c r="G80" s="13" t="n">
        <v>-0.0173697270471464</v>
      </c>
      <c r="H80" s="14" t="n">
        <v>0.357508761908858</v>
      </c>
      <c r="I80" s="14" t="n">
        <v>0.231042247654718</v>
      </c>
      <c r="J80" s="14" t="n">
        <v>0.411448990436424</v>
      </c>
      <c r="K80" s="12" t="s">
        <v>33</v>
      </c>
      <c r="L80" s="15" t="n">
        <v>857</v>
      </c>
      <c r="M80" s="15" t="n">
        <v>1</v>
      </c>
    </row>
    <row r="81" customFormat="false" ht="15" hidden="false" customHeight="false" outlineLevel="0" collapsed="false">
      <c r="A81" s="12" t="s">
        <v>34</v>
      </c>
      <c r="B81" s="7" t="s">
        <v>35</v>
      </c>
      <c r="C81" s="12" t="s">
        <v>57</v>
      </c>
      <c r="D81" s="7" t="s">
        <v>31</v>
      </c>
      <c r="E81" s="7" t="s">
        <v>31</v>
      </c>
      <c r="F81" s="12" t="n">
        <f aca="false">IF(D81=E81,1,0)</f>
        <v>1</v>
      </c>
      <c r="G81" s="13" t="n">
        <v>0.0180995475113121</v>
      </c>
      <c r="H81" s="14" t="n">
        <v>0.363383796165355</v>
      </c>
      <c r="I81" s="14" t="n">
        <v>0.227578884514863</v>
      </c>
      <c r="J81" s="14" t="n">
        <v>0.409037319319782</v>
      </c>
      <c r="K81" s="12" t="s">
        <v>33</v>
      </c>
      <c r="L81" s="15" t="n">
        <v>857</v>
      </c>
      <c r="M81" s="15" t="n">
        <v>1</v>
      </c>
    </row>
    <row r="82" customFormat="false" ht="15" hidden="false" customHeight="false" outlineLevel="0" collapsed="false">
      <c r="A82" s="12" t="s">
        <v>36</v>
      </c>
      <c r="B82" s="7" t="s">
        <v>37</v>
      </c>
      <c r="C82" s="12" t="s">
        <v>57</v>
      </c>
      <c r="D82" s="7" t="s">
        <v>31</v>
      </c>
      <c r="E82" s="7" t="s">
        <v>31</v>
      </c>
      <c r="F82" s="12" t="n">
        <f aca="false">IF(D82=E82,1,0)</f>
        <v>1</v>
      </c>
      <c r="G82" s="13" t="n">
        <v>0.0146341463414634</v>
      </c>
      <c r="H82" s="14" t="n">
        <v>0.349433567893669</v>
      </c>
      <c r="I82" s="14" t="n">
        <v>0.233946117567497</v>
      </c>
      <c r="J82" s="14" t="n">
        <v>0.416620314538834</v>
      </c>
      <c r="K82" s="12" t="s">
        <v>33</v>
      </c>
      <c r="L82" s="15" t="n">
        <v>857</v>
      </c>
      <c r="M82" s="15" t="n">
        <v>1</v>
      </c>
    </row>
    <row r="83" customFormat="false" ht="15" hidden="false" customHeight="false" outlineLevel="0" collapsed="false">
      <c r="A83" s="12" t="s">
        <v>38</v>
      </c>
      <c r="B83" s="7" t="s">
        <v>39</v>
      </c>
      <c r="C83" s="12" t="s">
        <v>57</v>
      </c>
      <c r="D83" s="7" t="s">
        <v>31</v>
      </c>
      <c r="E83" s="7" t="s">
        <v>32</v>
      </c>
      <c r="F83" s="12" t="n">
        <f aca="false">IF(D83=E83,1,0)</f>
        <v>0</v>
      </c>
      <c r="G83" s="13" t="n">
        <v>-0.0348583877995642</v>
      </c>
      <c r="H83" s="14" t="n">
        <v>0.356212255121592</v>
      </c>
      <c r="I83" s="14" t="n">
        <v>0.223087513880798</v>
      </c>
      <c r="J83" s="14" t="n">
        <v>0.42070023099761</v>
      </c>
      <c r="K83" s="12" t="s">
        <v>33</v>
      </c>
      <c r="L83" s="15" t="n">
        <v>857</v>
      </c>
      <c r="M83" s="15" t="n">
        <v>1</v>
      </c>
    </row>
    <row r="84" customFormat="false" ht="15" hidden="false" customHeight="false" outlineLevel="0" collapsed="false">
      <c r="A84" s="12" t="s">
        <v>41</v>
      </c>
      <c r="B84" s="7" t="s">
        <v>42</v>
      </c>
      <c r="C84" s="12" t="s">
        <v>57</v>
      </c>
      <c r="D84" s="7" t="s">
        <v>31</v>
      </c>
      <c r="E84" s="7" t="s">
        <v>40</v>
      </c>
      <c r="F84" s="12" t="n">
        <f aca="false">IF(D84=E84,1,0)</f>
        <v>0</v>
      </c>
      <c r="G84" s="13" t="n">
        <v>-0.0049504950495049</v>
      </c>
      <c r="H84" s="14" t="n">
        <v>0.352042828420572</v>
      </c>
      <c r="I84" s="14" t="n">
        <v>0.240117657597924</v>
      </c>
      <c r="J84" s="14" t="n">
        <v>0.407839513981505</v>
      </c>
      <c r="K84" s="12" t="s">
        <v>33</v>
      </c>
      <c r="L84" s="15" t="n">
        <v>857</v>
      </c>
      <c r="M84" s="15" t="n">
        <v>1</v>
      </c>
    </row>
    <row r="85" customFormat="false" ht="15" hidden="false" customHeight="false" outlineLevel="0" collapsed="false">
      <c r="A85" s="12" t="s">
        <v>43</v>
      </c>
      <c r="B85" s="7" t="s">
        <v>44</v>
      </c>
      <c r="C85" s="12" t="s">
        <v>57</v>
      </c>
      <c r="D85" s="7" t="s">
        <v>31</v>
      </c>
      <c r="E85" s="7" t="s">
        <v>32</v>
      </c>
      <c r="F85" s="12" t="n">
        <f aca="false">IF(D85=E85,1,0)</f>
        <v>0</v>
      </c>
      <c r="G85" s="13" t="n">
        <v>-0.0144927536231884</v>
      </c>
      <c r="H85" s="14" t="n">
        <v>0.352958862649096</v>
      </c>
      <c r="I85" s="14" t="n">
        <v>0.233914026499726</v>
      </c>
      <c r="J85" s="14" t="n">
        <v>0.413127110851177</v>
      </c>
      <c r="K85" s="12" t="s">
        <v>33</v>
      </c>
      <c r="L85" s="15" t="n">
        <v>857</v>
      </c>
      <c r="M85" s="15" t="n">
        <v>1</v>
      </c>
    </row>
    <row r="86" customFormat="false" ht="15" hidden="false" customHeight="false" outlineLevel="0" collapsed="false">
      <c r="A86" s="12" t="s">
        <v>28</v>
      </c>
      <c r="B86" s="7" t="s">
        <v>29</v>
      </c>
      <c r="C86" s="12" t="s">
        <v>58</v>
      </c>
      <c r="D86" s="7" t="s">
        <v>31</v>
      </c>
      <c r="E86" s="7" t="s">
        <v>31</v>
      </c>
      <c r="F86" s="12" t="n">
        <f aca="false">IF(D86=E86,1,0)</f>
        <v>1</v>
      </c>
      <c r="G86" s="13" t="n">
        <v>0.047979797979798</v>
      </c>
      <c r="H86" s="14" t="n">
        <v>0.351274309423704</v>
      </c>
      <c r="I86" s="14" t="n">
        <v>0.233197640164088</v>
      </c>
      <c r="J86" s="14" t="n">
        <v>0.415528050412208</v>
      </c>
      <c r="K86" s="12" t="s">
        <v>33</v>
      </c>
      <c r="L86" s="15" t="n">
        <v>857</v>
      </c>
      <c r="M86" s="15" t="n">
        <v>1</v>
      </c>
    </row>
    <row r="87" customFormat="false" ht="15" hidden="false" customHeight="false" outlineLevel="0" collapsed="false">
      <c r="A87" s="12" t="s">
        <v>34</v>
      </c>
      <c r="B87" s="7" t="s">
        <v>35</v>
      </c>
      <c r="C87" s="12" t="s">
        <v>58</v>
      </c>
      <c r="D87" s="7" t="s">
        <v>31</v>
      </c>
      <c r="E87" s="7" t="s">
        <v>32</v>
      </c>
      <c r="F87" s="12" t="n">
        <f aca="false">IF(D87=E87,1,0)</f>
        <v>0</v>
      </c>
      <c r="G87" s="13" t="n">
        <v>-0.0155555555555555</v>
      </c>
      <c r="H87" s="14" t="n">
        <v>0.357056018345749</v>
      </c>
      <c r="I87" s="14" t="n">
        <v>0.229840951689669</v>
      </c>
      <c r="J87" s="14" t="n">
        <v>0.413103029964583</v>
      </c>
      <c r="K87" s="12" t="s">
        <v>33</v>
      </c>
      <c r="L87" s="15" t="n">
        <v>857</v>
      </c>
      <c r="M87" s="15" t="n">
        <v>1</v>
      </c>
    </row>
    <row r="88" customFormat="false" ht="15" hidden="false" customHeight="false" outlineLevel="0" collapsed="false">
      <c r="A88" s="12" t="s">
        <v>36</v>
      </c>
      <c r="B88" s="7" t="s">
        <v>37</v>
      </c>
      <c r="C88" s="12" t="s">
        <v>58</v>
      </c>
      <c r="D88" s="7" t="s">
        <v>31</v>
      </c>
      <c r="E88" s="7" t="s">
        <v>31</v>
      </c>
      <c r="F88" s="12" t="n">
        <f aca="false">IF(D88=E88,1,0)</f>
        <v>1</v>
      </c>
      <c r="G88" s="13" t="n">
        <v>0.0504807692307691</v>
      </c>
      <c r="H88" s="14" t="n">
        <v>0.351274309423704</v>
      </c>
      <c r="I88" s="14" t="n">
        <v>0.233197640164088</v>
      </c>
      <c r="J88" s="14" t="n">
        <v>0.415528050412208</v>
      </c>
      <c r="K88" s="12" t="s">
        <v>33</v>
      </c>
      <c r="L88" s="15" t="n">
        <v>857</v>
      </c>
      <c r="M88" s="15" t="n">
        <v>1</v>
      </c>
    </row>
    <row r="89" customFormat="false" ht="15" hidden="false" customHeight="false" outlineLevel="0" collapsed="false">
      <c r="A89" s="12" t="s">
        <v>38</v>
      </c>
      <c r="B89" s="7" t="s">
        <v>39</v>
      </c>
      <c r="C89" s="12" t="s">
        <v>58</v>
      </c>
      <c r="D89" s="7" t="s">
        <v>31</v>
      </c>
      <c r="E89" s="7" t="s">
        <v>31</v>
      </c>
      <c r="F89" s="12" t="n">
        <f aca="false">IF(D89=E89,1,0)</f>
        <v>1</v>
      </c>
      <c r="G89" s="13" t="n">
        <v>0.0993227990970655</v>
      </c>
      <c r="H89" s="14" t="n">
        <v>0.347490361575758</v>
      </c>
      <c r="I89" s="14" t="n">
        <v>0.23068562125188</v>
      </c>
      <c r="J89" s="14" t="n">
        <v>0.421824017172363</v>
      </c>
      <c r="K89" s="12" t="s">
        <v>33</v>
      </c>
      <c r="L89" s="15" t="n">
        <v>857</v>
      </c>
      <c r="M89" s="15" t="n">
        <v>1</v>
      </c>
    </row>
    <row r="90" customFormat="false" ht="15" hidden="false" customHeight="false" outlineLevel="0" collapsed="false">
      <c r="A90" s="12" t="s">
        <v>41</v>
      </c>
      <c r="B90" s="7" t="s">
        <v>42</v>
      </c>
      <c r="C90" s="12" t="s">
        <v>58</v>
      </c>
      <c r="D90" s="7" t="s">
        <v>31</v>
      </c>
      <c r="E90" s="7" t="s">
        <v>40</v>
      </c>
      <c r="F90" s="12" t="n">
        <f aca="false">IF(D90=E90,1,0)</f>
        <v>0</v>
      </c>
      <c r="G90" s="13" t="n">
        <v>0.0024875621890547</v>
      </c>
      <c r="H90" s="14" t="n">
        <v>0.364612227738954</v>
      </c>
      <c r="I90" s="14" t="n">
        <v>0.231683725805347</v>
      </c>
      <c r="J90" s="14" t="n">
        <v>0.403704046455699</v>
      </c>
      <c r="K90" s="12" t="s">
        <v>33</v>
      </c>
      <c r="L90" s="15" t="n">
        <v>857</v>
      </c>
      <c r="M90" s="15" t="n">
        <v>1</v>
      </c>
    </row>
    <row r="91" customFormat="false" ht="15" hidden="false" customHeight="false" outlineLevel="0" collapsed="false">
      <c r="A91" s="12" t="s">
        <v>43</v>
      </c>
      <c r="B91" s="7" t="s">
        <v>44</v>
      </c>
      <c r="C91" s="12" t="s">
        <v>58</v>
      </c>
      <c r="D91" s="7" t="s">
        <v>31</v>
      </c>
      <c r="E91" s="7" t="s">
        <v>40</v>
      </c>
      <c r="F91" s="12" t="n">
        <f aca="false">IF(D91=E91,1,0)</f>
        <v>0</v>
      </c>
      <c r="G91" s="13" t="n">
        <v>0.001336898395722</v>
      </c>
      <c r="H91" s="14" t="n">
        <v>0.354057286130936</v>
      </c>
      <c r="I91" s="14" t="n">
        <v>0.233516931717637</v>
      </c>
      <c r="J91" s="14" t="n">
        <v>0.412425782151427</v>
      </c>
      <c r="K91" s="12" t="s">
        <v>33</v>
      </c>
      <c r="L91" s="15" t="n">
        <v>857</v>
      </c>
      <c r="M91" s="15" t="n">
        <v>1</v>
      </c>
    </row>
    <row r="92" customFormat="false" ht="15" hidden="false" customHeight="false" outlineLevel="0" collapsed="false">
      <c r="A92" s="12" t="s">
        <v>28</v>
      </c>
      <c r="B92" s="7" t="s">
        <v>29</v>
      </c>
      <c r="C92" s="12" t="s">
        <v>59</v>
      </c>
      <c r="D92" s="7" t="s">
        <v>31</v>
      </c>
      <c r="E92" s="7" t="s">
        <v>32</v>
      </c>
      <c r="F92" s="12" t="n">
        <f aca="false">IF(D92=E92,1,0)</f>
        <v>0</v>
      </c>
      <c r="G92" s="13" t="n">
        <v>-0.0265060240963855</v>
      </c>
      <c r="H92" s="14" t="n">
        <v>0.351226846423228</v>
      </c>
      <c r="I92" s="14" t="n">
        <v>0.233301247913911</v>
      </c>
      <c r="J92" s="14" t="n">
        <v>0.415471905662861</v>
      </c>
      <c r="K92" s="12" t="s">
        <v>33</v>
      </c>
      <c r="L92" s="15" t="n">
        <v>857</v>
      </c>
      <c r="M92" s="15" t="n">
        <v>1</v>
      </c>
    </row>
    <row r="93" customFormat="false" ht="15" hidden="false" customHeight="false" outlineLevel="0" collapsed="false">
      <c r="A93" s="12" t="s">
        <v>34</v>
      </c>
      <c r="B93" s="7" t="s">
        <v>35</v>
      </c>
      <c r="C93" s="12" t="s">
        <v>59</v>
      </c>
      <c r="D93" s="7" t="s">
        <v>31</v>
      </c>
      <c r="E93" s="7" t="s">
        <v>31</v>
      </c>
      <c r="F93" s="12" t="n">
        <f aca="false">IF(D93=E93,1,0)</f>
        <v>1</v>
      </c>
      <c r="G93" s="13" t="n">
        <v>0.0293453724604966</v>
      </c>
      <c r="H93" s="14" t="n">
        <v>0.354490639221674</v>
      </c>
      <c r="I93" s="14" t="n">
        <v>0.235374396984629</v>
      </c>
      <c r="J93" s="14" t="n">
        <v>0.410134963793697</v>
      </c>
      <c r="K93" s="12" t="s">
        <v>33</v>
      </c>
      <c r="L93" s="15" t="n">
        <v>857</v>
      </c>
      <c r="M93" s="15" t="n">
        <v>1</v>
      </c>
    </row>
    <row r="94" customFormat="false" ht="15" hidden="false" customHeight="false" outlineLevel="0" collapsed="false">
      <c r="A94" s="12" t="s">
        <v>36</v>
      </c>
      <c r="B94" s="7" t="s">
        <v>37</v>
      </c>
      <c r="C94" s="12" t="s">
        <v>59</v>
      </c>
      <c r="D94" s="7" t="s">
        <v>31</v>
      </c>
      <c r="E94" s="7" t="s">
        <v>31</v>
      </c>
      <c r="F94" s="12" t="n">
        <f aca="false">IF(D94=E94,1,0)</f>
        <v>1</v>
      </c>
      <c r="G94" s="13" t="n">
        <v>0.0366132723112129</v>
      </c>
      <c r="H94" s="14" t="n">
        <v>0.351274309423704</v>
      </c>
      <c r="I94" s="14" t="n">
        <v>0.233197640164088</v>
      </c>
      <c r="J94" s="14" t="n">
        <v>0.415528050412208</v>
      </c>
      <c r="K94" s="12" t="s">
        <v>33</v>
      </c>
      <c r="L94" s="15" t="n">
        <v>857</v>
      </c>
      <c r="M94" s="15" t="n">
        <v>1</v>
      </c>
    </row>
    <row r="95" customFormat="false" ht="15" hidden="false" customHeight="false" outlineLevel="0" collapsed="false">
      <c r="A95" s="12" t="s">
        <v>38</v>
      </c>
      <c r="B95" s="7" t="s">
        <v>39</v>
      </c>
      <c r="C95" s="12" t="s">
        <v>59</v>
      </c>
      <c r="D95" s="7" t="s">
        <v>31</v>
      </c>
      <c r="E95" s="7" t="s">
        <v>40</v>
      </c>
      <c r="F95" s="12" t="n">
        <f aca="false">IF(D95=E95,1,0)</f>
        <v>0</v>
      </c>
      <c r="G95" s="13" t="n">
        <v>0</v>
      </c>
      <c r="H95" s="14" t="n">
        <v>0.347443915548757</v>
      </c>
      <c r="I95" s="14" t="n">
        <v>0.230788448841818</v>
      </c>
      <c r="J95" s="14" t="n">
        <v>0.421767635609425</v>
      </c>
      <c r="K95" s="12" t="s">
        <v>33</v>
      </c>
      <c r="L95" s="15" t="n">
        <v>857</v>
      </c>
      <c r="M95" s="15" t="n">
        <v>1</v>
      </c>
    </row>
    <row r="96" customFormat="false" ht="15" hidden="false" customHeight="false" outlineLevel="0" collapsed="false">
      <c r="A96" s="12" t="s">
        <v>41</v>
      </c>
      <c r="B96" s="7" t="s">
        <v>42</v>
      </c>
      <c r="C96" s="12" t="s">
        <v>59</v>
      </c>
      <c r="D96" s="7" t="s">
        <v>31</v>
      </c>
      <c r="E96" s="7" t="s">
        <v>32</v>
      </c>
      <c r="F96" s="12" t="n">
        <f aca="false">IF(D96=E96,1,0)</f>
        <v>0</v>
      </c>
      <c r="G96" s="13" t="n">
        <v>-0.009925558312655</v>
      </c>
      <c r="H96" s="14" t="n">
        <v>0.356736005079435</v>
      </c>
      <c r="I96" s="14" t="n">
        <v>0.232548538985036</v>
      </c>
      <c r="J96" s="14" t="n">
        <v>0.410715455935529</v>
      </c>
      <c r="K96" s="12" t="s">
        <v>33</v>
      </c>
      <c r="L96" s="15" t="n">
        <v>857</v>
      </c>
      <c r="M96" s="15" t="n">
        <v>1</v>
      </c>
    </row>
    <row r="97" customFormat="false" ht="15" hidden="false" customHeight="false" outlineLevel="0" collapsed="false">
      <c r="A97" s="12" t="s">
        <v>43</v>
      </c>
      <c r="B97" s="7" t="s">
        <v>44</v>
      </c>
      <c r="C97" s="12" t="s">
        <v>59</v>
      </c>
      <c r="D97" s="7" t="s">
        <v>31</v>
      </c>
      <c r="E97" s="7" t="s">
        <v>32</v>
      </c>
      <c r="F97" s="12" t="n">
        <f aca="false">IF(D97=E97,1,0)</f>
        <v>0</v>
      </c>
      <c r="G97" s="13" t="n">
        <v>-0.0053404539385848</v>
      </c>
      <c r="H97" s="14" t="n">
        <v>0.359867107955397</v>
      </c>
      <c r="I97" s="14" t="n">
        <v>0.231416603411203</v>
      </c>
      <c r="J97" s="14" t="n">
        <v>0.4087162886334</v>
      </c>
      <c r="K97" s="12" t="s">
        <v>33</v>
      </c>
      <c r="L97" s="15" t="n">
        <v>857</v>
      </c>
      <c r="M97" s="15" t="n">
        <v>1</v>
      </c>
    </row>
    <row r="98" customFormat="false" ht="15" hidden="false" customHeight="false" outlineLevel="0" collapsed="false">
      <c r="A98" s="12" t="s">
        <v>28</v>
      </c>
      <c r="B98" s="7" t="s">
        <v>29</v>
      </c>
      <c r="C98" s="12" t="s">
        <v>60</v>
      </c>
      <c r="D98" s="7" t="s">
        <v>31</v>
      </c>
      <c r="E98" s="7" t="s">
        <v>31</v>
      </c>
      <c r="F98" s="12" t="n">
        <f aca="false">IF(D98=E98,1,0)</f>
        <v>1</v>
      </c>
      <c r="G98" s="13" t="n">
        <v>0.051980198019802</v>
      </c>
      <c r="H98" s="14" t="n">
        <v>0.345659661055801</v>
      </c>
      <c r="I98" s="14" t="n">
        <v>0.231419483225804</v>
      </c>
      <c r="J98" s="14" t="n">
        <v>0.422920855718395</v>
      </c>
      <c r="K98" s="12" t="s">
        <v>33</v>
      </c>
      <c r="L98" s="15" t="n">
        <v>857</v>
      </c>
      <c r="M98" s="15" t="n">
        <v>1</v>
      </c>
    </row>
    <row r="99" customFormat="false" ht="15" hidden="false" customHeight="false" outlineLevel="0" collapsed="false">
      <c r="A99" s="12" t="s">
        <v>34</v>
      </c>
      <c r="B99" s="7" t="s">
        <v>35</v>
      </c>
      <c r="C99" s="12" t="s">
        <v>60</v>
      </c>
      <c r="D99" s="7" t="s">
        <v>31</v>
      </c>
      <c r="E99" s="7" t="s">
        <v>32</v>
      </c>
      <c r="F99" s="12" t="n">
        <f aca="false">IF(D99=E99,1,0)</f>
        <v>0</v>
      </c>
      <c r="G99" s="13" t="n">
        <v>-0.0109649122807017</v>
      </c>
      <c r="H99" s="14" t="n">
        <v>0.360798465960033</v>
      </c>
      <c r="I99" s="14" t="n">
        <v>0.233074351462385</v>
      </c>
      <c r="J99" s="14" t="n">
        <v>0.406127182577582</v>
      </c>
      <c r="K99" s="12" t="s">
        <v>33</v>
      </c>
      <c r="L99" s="15" t="n">
        <v>857</v>
      </c>
      <c r="M99" s="15" t="n">
        <v>1</v>
      </c>
    </row>
    <row r="100" customFormat="false" ht="15" hidden="false" customHeight="false" outlineLevel="0" collapsed="false">
      <c r="A100" s="12" t="s">
        <v>36</v>
      </c>
      <c r="B100" s="7" t="s">
        <v>37</v>
      </c>
      <c r="C100" s="12" t="s">
        <v>60</v>
      </c>
      <c r="D100" s="7" t="s">
        <v>31</v>
      </c>
      <c r="E100" s="7" t="s">
        <v>32</v>
      </c>
      <c r="F100" s="12" t="n">
        <f aca="false">IF(D100=E100,1,0)</f>
        <v>0</v>
      </c>
      <c r="G100" s="13" t="n">
        <v>-0.0220750551876379</v>
      </c>
      <c r="H100" s="14" t="n">
        <v>0.357556605960025</v>
      </c>
      <c r="I100" s="14" t="n">
        <v>0.230939340934749</v>
      </c>
      <c r="J100" s="14" t="n">
        <v>0.411504053105227</v>
      </c>
      <c r="K100" s="12" t="s">
        <v>33</v>
      </c>
      <c r="L100" s="15" t="n">
        <v>857</v>
      </c>
      <c r="M100" s="15" t="n">
        <v>1</v>
      </c>
    </row>
    <row r="101" customFormat="false" ht="15" hidden="false" customHeight="false" outlineLevel="0" collapsed="false">
      <c r="A101" s="12" t="s">
        <v>38</v>
      </c>
      <c r="B101" s="7" t="s">
        <v>39</v>
      </c>
      <c r="C101" s="12" t="s">
        <v>60</v>
      </c>
      <c r="D101" s="7" t="s">
        <v>31</v>
      </c>
      <c r="E101" s="7" t="s">
        <v>31</v>
      </c>
      <c r="F101" s="12" t="n">
        <f aca="false">IF(D101=E101,1,0)</f>
        <v>1</v>
      </c>
      <c r="G101" s="13" t="n">
        <v>0.0739219712525667</v>
      </c>
      <c r="H101" s="14" t="n">
        <v>0.353695057534422</v>
      </c>
      <c r="I101" s="14" t="n">
        <v>0.228577617624797</v>
      </c>
      <c r="J101" s="14" t="n">
        <v>0.417727324840781</v>
      </c>
      <c r="K101" s="12" t="s">
        <v>33</v>
      </c>
      <c r="L101" s="15" t="n">
        <v>857</v>
      </c>
      <c r="M101" s="15" t="n">
        <v>1</v>
      </c>
    </row>
    <row r="102" customFormat="false" ht="15" hidden="false" customHeight="false" outlineLevel="0" collapsed="false">
      <c r="A102" s="12" t="s">
        <v>41</v>
      </c>
      <c r="B102" s="7" t="s">
        <v>42</v>
      </c>
      <c r="C102" s="12" t="s">
        <v>60</v>
      </c>
      <c r="D102" s="7" t="s">
        <v>31</v>
      </c>
      <c r="E102" s="7" t="s">
        <v>40</v>
      </c>
      <c r="F102" s="12" t="n">
        <f aca="false">IF(D102=E102,1,0)</f>
        <v>0</v>
      </c>
      <c r="G102" s="13" t="n">
        <v>0.0025062656641603</v>
      </c>
      <c r="H102" s="14" t="n">
        <v>0.344931265171105</v>
      </c>
      <c r="I102" s="14" t="n">
        <v>0.236816110371679</v>
      </c>
      <c r="J102" s="14" t="n">
        <v>0.418252624457216</v>
      </c>
      <c r="K102" s="12" t="s">
        <v>33</v>
      </c>
      <c r="L102" s="15" t="n">
        <v>857</v>
      </c>
      <c r="M102" s="15" t="n">
        <v>1</v>
      </c>
    </row>
    <row r="103" customFormat="false" ht="15" hidden="false" customHeight="false" outlineLevel="0" collapsed="false">
      <c r="A103" s="12" t="s">
        <v>43</v>
      </c>
      <c r="B103" s="7" t="s">
        <v>44</v>
      </c>
      <c r="C103" s="12" t="s">
        <v>60</v>
      </c>
      <c r="D103" s="7" t="s">
        <v>31</v>
      </c>
      <c r="E103" s="7" t="s">
        <v>40</v>
      </c>
      <c r="F103" s="12" t="n">
        <f aca="false">IF(D103=E103,1,0)</f>
        <v>0</v>
      </c>
      <c r="G103" s="13" t="n">
        <v>0.0026845637583892</v>
      </c>
      <c r="H103" s="14" t="n">
        <v>0.354057286130936</v>
      </c>
      <c r="I103" s="14" t="n">
        <v>0.233516931717637</v>
      </c>
      <c r="J103" s="14" t="n">
        <v>0.412425782151427</v>
      </c>
      <c r="K103" s="12" t="s">
        <v>33</v>
      </c>
      <c r="L103" s="15" t="n">
        <v>857</v>
      </c>
      <c r="M103" s="15" t="n">
        <v>1</v>
      </c>
    </row>
    <row r="104" customFormat="false" ht="15" hidden="false" customHeight="false" outlineLevel="0" collapsed="false">
      <c r="A104" s="12" t="s">
        <v>28</v>
      </c>
      <c r="B104" s="7" t="s">
        <v>29</v>
      </c>
      <c r="C104" s="12" t="s">
        <v>61</v>
      </c>
      <c r="D104" s="7" t="s">
        <v>31</v>
      </c>
      <c r="E104" s="7" t="s">
        <v>31</v>
      </c>
      <c r="F104" s="12" t="n">
        <f aca="false">IF(D104=E104,1,0)</f>
        <v>1</v>
      </c>
      <c r="G104" s="13" t="n">
        <v>0.0188235294117646</v>
      </c>
      <c r="H104" s="14" t="n">
        <v>0.353695057534422</v>
      </c>
      <c r="I104" s="14" t="n">
        <v>0.228577617624797</v>
      </c>
      <c r="J104" s="14" t="n">
        <v>0.417727324840781</v>
      </c>
      <c r="K104" s="12" t="s">
        <v>33</v>
      </c>
      <c r="L104" s="15" t="n">
        <v>857</v>
      </c>
      <c r="M104" s="15" t="n">
        <v>1</v>
      </c>
    </row>
    <row r="105" customFormat="false" ht="15" hidden="false" customHeight="false" outlineLevel="0" collapsed="false">
      <c r="A105" s="12" t="s">
        <v>34</v>
      </c>
      <c r="B105" s="7" t="s">
        <v>35</v>
      </c>
      <c r="C105" s="12" t="s">
        <v>61</v>
      </c>
      <c r="D105" s="7" t="s">
        <v>31</v>
      </c>
      <c r="E105" s="7" t="s">
        <v>40</v>
      </c>
      <c r="F105" s="12" t="n">
        <f aca="false">IF(D105=E105,1,0)</f>
        <v>0</v>
      </c>
      <c r="G105" s="13" t="n">
        <v>-0.0022172949002217</v>
      </c>
      <c r="H105" s="14" t="n">
        <v>0.360798465960033</v>
      </c>
      <c r="I105" s="14" t="n">
        <v>0.233074351462385</v>
      </c>
      <c r="J105" s="14" t="n">
        <v>0.406127182577582</v>
      </c>
      <c r="K105" s="12" t="s">
        <v>33</v>
      </c>
      <c r="L105" s="15" t="n">
        <v>857</v>
      </c>
      <c r="M105" s="15" t="n">
        <v>1</v>
      </c>
    </row>
    <row r="106" customFormat="false" ht="15" hidden="false" customHeight="false" outlineLevel="0" collapsed="false">
      <c r="A106" s="12" t="s">
        <v>36</v>
      </c>
      <c r="B106" s="7" t="s">
        <v>37</v>
      </c>
      <c r="C106" s="12" t="s">
        <v>61</v>
      </c>
      <c r="D106" s="7" t="s">
        <v>31</v>
      </c>
      <c r="E106" s="7" t="s">
        <v>32</v>
      </c>
      <c r="F106" s="12" t="n">
        <f aca="false">IF(D106=E106,1,0)</f>
        <v>0</v>
      </c>
      <c r="G106" s="13" t="n">
        <v>-0.0158013544018058</v>
      </c>
      <c r="H106" s="14" t="n">
        <v>0.351014516469831</v>
      </c>
      <c r="I106" s="14" t="n">
        <v>0.233377602557786</v>
      </c>
      <c r="J106" s="14" t="n">
        <v>0.415607880972383</v>
      </c>
      <c r="K106" s="12" t="s">
        <v>33</v>
      </c>
      <c r="L106" s="15" t="n">
        <v>857</v>
      </c>
      <c r="M106" s="15" t="n">
        <v>1</v>
      </c>
    </row>
    <row r="107" customFormat="false" ht="15" hidden="false" customHeight="false" outlineLevel="0" collapsed="false">
      <c r="A107" s="12" t="s">
        <v>38</v>
      </c>
      <c r="B107" s="7" t="s">
        <v>39</v>
      </c>
      <c r="C107" s="12" t="s">
        <v>61</v>
      </c>
      <c r="D107" s="7" t="s">
        <v>31</v>
      </c>
      <c r="E107" s="7" t="s">
        <v>32</v>
      </c>
      <c r="F107" s="12" t="n">
        <f aca="false">IF(D107=E107,1,0)</f>
        <v>0</v>
      </c>
      <c r="G107" s="13" t="n">
        <v>-0.0152963671128106</v>
      </c>
      <c r="H107" s="14" t="n">
        <v>0.353695057534422</v>
      </c>
      <c r="I107" s="14" t="n">
        <v>0.228577617624797</v>
      </c>
      <c r="J107" s="14" t="n">
        <v>0.417727324840781</v>
      </c>
      <c r="K107" s="12" t="s">
        <v>33</v>
      </c>
      <c r="L107" s="15" t="n">
        <v>857</v>
      </c>
      <c r="M107" s="15" t="n">
        <v>1</v>
      </c>
    </row>
    <row r="108" customFormat="false" ht="15" hidden="false" customHeight="false" outlineLevel="0" collapsed="false">
      <c r="A108" s="12" t="s">
        <v>41</v>
      </c>
      <c r="B108" s="7" t="s">
        <v>42</v>
      </c>
      <c r="C108" s="12" t="s">
        <v>61</v>
      </c>
      <c r="D108" s="7" t="s">
        <v>31</v>
      </c>
      <c r="E108" s="7" t="s">
        <v>31</v>
      </c>
      <c r="F108" s="12" t="n">
        <f aca="false">IF(D108=E108,1,0)</f>
        <v>1</v>
      </c>
      <c r="G108" s="13" t="n">
        <v>0.0075</v>
      </c>
      <c r="H108" s="14" t="n">
        <v>0.351354031222292</v>
      </c>
      <c r="I108" s="14" t="n">
        <v>0.239647850073217</v>
      </c>
      <c r="J108" s="14" t="n">
        <v>0.40899811870449</v>
      </c>
      <c r="K108" s="12" t="s">
        <v>33</v>
      </c>
      <c r="L108" s="15" t="n">
        <v>857</v>
      </c>
      <c r="M108" s="15" t="n">
        <v>1</v>
      </c>
    </row>
    <row r="109" customFormat="false" ht="15" hidden="false" customHeight="false" outlineLevel="0" collapsed="false">
      <c r="A109" s="12" t="s">
        <v>43</v>
      </c>
      <c r="B109" s="7" t="s">
        <v>44</v>
      </c>
      <c r="C109" s="12" t="s">
        <v>61</v>
      </c>
      <c r="D109" s="7" t="s">
        <v>31</v>
      </c>
      <c r="E109" s="7" t="s">
        <v>31</v>
      </c>
      <c r="F109" s="12" t="n">
        <f aca="false">IF(D109=E109,1,0)</f>
        <v>1</v>
      </c>
      <c r="G109" s="13" t="n">
        <v>0.0522088353413654</v>
      </c>
      <c r="H109" s="14" t="n">
        <v>0.344931265171105</v>
      </c>
      <c r="I109" s="14" t="n">
        <v>0.236816110371679</v>
      </c>
      <c r="J109" s="14" t="n">
        <v>0.418252624457216</v>
      </c>
      <c r="K109" s="12" t="s">
        <v>33</v>
      </c>
      <c r="L109" s="15" t="n">
        <v>857</v>
      </c>
      <c r="M109" s="15" t="n">
        <v>1</v>
      </c>
    </row>
    <row r="110" customFormat="false" ht="15" hidden="false" customHeight="false" outlineLevel="0" collapsed="false">
      <c r="A110" s="12" t="s">
        <v>28</v>
      </c>
      <c r="B110" s="7" t="s">
        <v>29</v>
      </c>
      <c r="C110" s="12" t="s">
        <v>62</v>
      </c>
      <c r="D110" s="7" t="s">
        <v>31</v>
      </c>
      <c r="E110" s="7" t="s">
        <v>40</v>
      </c>
      <c r="F110" s="12" t="n">
        <f aca="false">IF(D110=E110,1,0)</f>
        <v>0</v>
      </c>
      <c r="G110" s="13" t="n">
        <v>0</v>
      </c>
      <c r="H110" s="14" t="n">
        <v>0.347232648525576</v>
      </c>
      <c r="I110" s="14" t="n">
        <v>0.230863167306227</v>
      </c>
      <c r="J110" s="14" t="n">
        <v>0.421904184168197</v>
      </c>
      <c r="K110" s="12" t="s">
        <v>33</v>
      </c>
      <c r="L110" s="15" t="n">
        <v>857</v>
      </c>
      <c r="M110" s="15" t="n">
        <v>1</v>
      </c>
    </row>
    <row r="111" customFormat="false" ht="15" hidden="false" customHeight="false" outlineLevel="0" collapsed="false">
      <c r="A111" s="12" t="s">
        <v>34</v>
      </c>
      <c r="B111" s="7" t="s">
        <v>35</v>
      </c>
      <c r="C111" s="12" t="s">
        <v>62</v>
      </c>
      <c r="D111" s="7" t="s">
        <v>31</v>
      </c>
      <c r="E111" s="7" t="s">
        <v>32</v>
      </c>
      <c r="F111" s="12" t="n">
        <f aca="false">IF(D111=E111,1,0)</f>
        <v>0</v>
      </c>
      <c r="G111" s="13" t="n">
        <v>-0.0244444444444444</v>
      </c>
      <c r="H111" s="14" t="n">
        <v>0.352689755611705</v>
      </c>
      <c r="I111" s="14" t="n">
        <v>0.23603105964437</v>
      </c>
      <c r="J111" s="14" t="n">
        <v>0.411279184743925</v>
      </c>
      <c r="K111" s="12" t="s">
        <v>33</v>
      </c>
      <c r="L111" s="15" t="n">
        <v>857</v>
      </c>
      <c r="M111" s="15" t="n">
        <v>1</v>
      </c>
    </row>
    <row r="112" customFormat="false" ht="15" hidden="false" customHeight="false" outlineLevel="0" collapsed="false">
      <c r="A112" s="12" t="s">
        <v>36</v>
      </c>
      <c r="B112" s="7" t="s">
        <v>37</v>
      </c>
      <c r="C112" s="12" t="s">
        <v>62</v>
      </c>
      <c r="D112" s="7" t="s">
        <v>31</v>
      </c>
      <c r="E112" s="7" t="s">
        <v>32</v>
      </c>
      <c r="F112" s="12" t="n">
        <f aca="false">IF(D112=E112,1,0)</f>
        <v>0</v>
      </c>
      <c r="G112" s="13" t="n">
        <v>-0.0206422018348624</v>
      </c>
      <c r="H112" s="14" t="n">
        <v>0.35861349717984</v>
      </c>
      <c r="I112" s="14" t="n">
        <v>0.230644980727266</v>
      </c>
      <c r="J112" s="14" t="n">
        <v>0.410741522092894</v>
      </c>
      <c r="K112" s="12" t="s">
        <v>33</v>
      </c>
      <c r="L112" s="15" t="n">
        <v>857</v>
      </c>
      <c r="M112" s="15" t="n">
        <v>1</v>
      </c>
    </row>
    <row r="113" customFormat="false" ht="15" hidden="false" customHeight="false" outlineLevel="0" collapsed="false">
      <c r="A113" s="12" t="s">
        <v>38</v>
      </c>
      <c r="B113" s="7" t="s">
        <v>39</v>
      </c>
      <c r="C113" s="12" t="s">
        <v>62</v>
      </c>
      <c r="D113" s="7" t="s">
        <v>31</v>
      </c>
      <c r="E113" s="7" t="s">
        <v>31</v>
      </c>
      <c r="F113" s="12" t="n">
        <f aca="false">IF(D113=E113,1,0)</f>
        <v>1</v>
      </c>
      <c r="G113" s="13" t="n">
        <v>0.0135922330097086</v>
      </c>
      <c r="H113" s="14" t="n">
        <v>0.347232648525576</v>
      </c>
      <c r="I113" s="14" t="n">
        <v>0.230863167306227</v>
      </c>
      <c r="J113" s="14" t="n">
        <v>0.421904184168197</v>
      </c>
      <c r="K113" s="12" t="s">
        <v>33</v>
      </c>
      <c r="L113" s="15" t="n">
        <v>857</v>
      </c>
      <c r="M113" s="15" t="n">
        <v>1</v>
      </c>
    </row>
    <row r="114" customFormat="false" ht="15" hidden="false" customHeight="false" outlineLevel="0" collapsed="false">
      <c r="A114" s="12" t="s">
        <v>41</v>
      </c>
      <c r="B114" s="7" t="s">
        <v>42</v>
      </c>
      <c r="C114" s="12" t="s">
        <v>62</v>
      </c>
      <c r="D114" s="7" t="s">
        <v>31</v>
      </c>
      <c r="E114" s="7" t="s">
        <v>40</v>
      </c>
      <c r="F114" s="12" t="n">
        <f aca="false">IF(D114=E114,1,0)</f>
        <v>0</v>
      </c>
      <c r="G114" s="13" t="n">
        <v>0.0024813895781636</v>
      </c>
      <c r="H114" s="14" t="n">
        <v>0.345967688537742</v>
      </c>
      <c r="I114" s="14" t="n">
        <v>0.241637880854635</v>
      </c>
      <c r="J114" s="14" t="n">
        <v>0.412394430607623</v>
      </c>
      <c r="K114" s="12" t="s">
        <v>33</v>
      </c>
      <c r="L114" s="15" t="n">
        <v>857</v>
      </c>
      <c r="M114" s="15" t="n">
        <v>1</v>
      </c>
    </row>
    <row r="115" customFormat="false" ht="15" hidden="false" customHeight="false" outlineLevel="0" collapsed="false">
      <c r="A115" s="12" t="s">
        <v>43</v>
      </c>
      <c r="B115" s="7" t="s">
        <v>44</v>
      </c>
      <c r="C115" s="12" t="s">
        <v>62</v>
      </c>
      <c r="D115" s="7" t="s">
        <v>31</v>
      </c>
      <c r="E115" s="7" t="s">
        <v>32</v>
      </c>
      <c r="F115" s="12" t="n">
        <f aca="false">IF(D115=E115,1,0)</f>
        <v>0</v>
      </c>
      <c r="G115" s="13" t="n">
        <v>-0.0178117048346054</v>
      </c>
      <c r="H115" s="14" t="n">
        <v>0.363383796165355</v>
      </c>
      <c r="I115" s="14" t="n">
        <v>0.227578884514863</v>
      </c>
      <c r="J115" s="14" t="n">
        <v>0.409037319319782</v>
      </c>
      <c r="K115" s="12" t="s">
        <v>33</v>
      </c>
      <c r="L115" s="15" t="n">
        <v>857</v>
      </c>
      <c r="M115" s="15" t="n">
        <v>1</v>
      </c>
    </row>
    <row r="116" customFormat="false" ht="15" hidden="false" customHeight="false" outlineLevel="0" collapsed="false">
      <c r="A116" s="12" t="s">
        <v>28</v>
      </c>
      <c r="B116" s="7" t="s">
        <v>29</v>
      </c>
      <c r="C116" s="12" t="s">
        <v>63</v>
      </c>
      <c r="D116" s="7" t="s">
        <v>31</v>
      </c>
      <c r="E116" s="7" t="s">
        <v>31</v>
      </c>
      <c r="F116" s="12" t="n">
        <f aca="false">IF(D116=E116,1,0)</f>
        <v>1</v>
      </c>
      <c r="G116" s="13" t="n">
        <v>0.0254041570438798</v>
      </c>
      <c r="H116" s="14" t="n">
        <v>0.351226846423228</v>
      </c>
      <c r="I116" s="14" t="n">
        <v>0.233301247913911</v>
      </c>
      <c r="J116" s="14" t="n">
        <v>0.415471905662861</v>
      </c>
      <c r="K116" s="12" t="s">
        <v>33</v>
      </c>
      <c r="L116" s="15" t="n">
        <v>857</v>
      </c>
      <c r="M116" s="15" t="n">
        <v>1</v>
      </c>
    </row>
    <row r="117" customFormat="false" ht="15" hidden="false" customHeight="false" outlineLevel="0" collapsed="false">
      <c r="A117" s="12" t="s">
        <v>34</v>
      </c>
      <c r="B117" s="7" t="s">
        <v>35</v>
      </c>
      <c r="C117" s="12" t="s">
        <v>63</v>
      </c>
      <c r="D117" s="7" t="s">
        <v>31</v>
      </c>
      <c r="E117" s="7" t="s">
        <v>31</v>
      </c>
      <c r="F117" s="12" t="n">
        <f aca="false">IF(D117=E117,1,0)</f>
        <v>1</v>
      </c>
      <c r="G117" s="13" t="n">
        <v>0.0364464692482915</v>
      </c>
      <c r="H117" s="14" t="n">
        <v>0.354490639221674</v>
      </c>
      <c r="I117" s="14" t="n">
        <v>0.235374396984629</v>
      </c>
      <c r="J117" s="14" t="n">
        <v>0.410134963793697</v>
      </c>
      <c r="K117" s="12" t="s">
        <v>33</v>
      </c>
      <c r="L117" s="15" t="n">
        <v>857</v>
      </c>
      <c r="M117" s="15" t="n">
        <v>1</v>
      </c>
    </row>
    <row r="118" customFormat="false" ht="15" hidden="false" customHeight="false" outlineLevel="0" collapsed="false">
      <c r="A118" s="12" t="s">
        <v>36</v>
      </c>
      <c r="B118" s="7" t="s">
        <v>37</v>
      </c>
      <c r="C118" s="12" t="s">
        <v>63</v>
      </c>
      <c r="D118" s="7" t="s">
        <v>31</v>
      </c>
      <c r="E118" s="7" t="s">
        <v>31</v>
      </c>
      <c r="F118" s="12" t="n">
        <f aca="false">IF(D118=E118,1,0)</f>
        <v>1</v>
      </c>
      <c r="G118" s="13" t="n">
        <v>0.0655737704918033</v>
      </c>
      <c r="H118" s="14" t="n">
        <v>0.349375321358102</v>
      </c>
      <c r="I118" s="14" t="n">
        <v>0.226512479132646</v>
      </c>
      <c r="J118" s="14" t="n">
        <v>0.424112199509252</v>
      </c>
      <c r="K118" s="12" t="s">
        <v>33</v>
      </c>
      <c r="L118" s="15" t="n">
        <v>857</v>
      </c>
      <c r="M118" s="15" t="n">
        <v>1</v>
      </c>
    </row>
    <row r="119" customFormat="false" ht="15" hidden="false" customHeight="false" outlineLevel="0" collapsed="false">
      <c r="A119" s="12" t="s">
        <v>38</v>
      </c>
      <c r="B119" s="7" t="s">
        <v>39</v>
      </c>
      <c r="C119" s="12" t="s">
        <v>63</v>
      </c>
      <c r="D119" s="7" t="s">
        <v>31</v>
      </c>
      <c r="E119" s="7" t="s">
        <v>31</v>
      </c>
      <c r="F119" s="12" t="n">
        <f aca="false">IF(D119=E119,1,0)</f>
        <v>1</v>
      </c>
      <c r="G119" s="13" t="n">
        <v>0.0996168582375478</v>
      </c>
      <c r="H119" s="14" t="n">
        <v>0.347443915548757</v>
      </c>
      <c r="I119" s="14" t="n">
        <v>0.230788448841818</v>
      </c>
      <c r="J119" s="14" t="n">
        <v>0.421767635609425</v>
      </c>
      <c r="K119" s="12" t="s">
        <v>33</v>
      </c>
      <c r="L119" s="15" t="n">
        <v>857</v>
      </c>
      <c r="M119" s="15" t="n">
        <v>1</v>
      </c>
    </row>
    <row r="120" customFormat="false" ht="15" hidden="false" customHeight="false" outlineLevel="0" collapsed="false">
      <c r="A120" s="12" t="s">
        <v>41</v>
      </c>
      <c r="B120" s="7" t="s">
        <v>42</v>
      </c>
      <c r="C120" s="12" t="s">
        <v>63</v>
      </c>
      <c r="D120" s="7" t="s">
        <v>31</v>
      </c>
      <c r="E120" s="7" t="s">
        <v>31</v>
      </c>
      <c r="F120" s="12" t="n">
        <f aca="false">IF(D120=E120,1,0)</f>
        <v>1</v>
      </c>
      <c r="G120" s="13" t="n">
        <v>0.0198019801980198</v>
      </c>
      <c r="H120" s="14" t="n">
        <v>0.351863257155586</v>
      </c>
      <c r="I120" s="14" t="n">
        <v>0.239459712158254</v>
      </c>
      <c r="J120" s="14" t="n">
        <v>0.40867703068616</v>
      </c>
      <c r="K120" s="12" t="s">
        <v>33</v>
      </c>
      <c r="L120" s="15" t="n">
        <v>857</v>
      </c>
      <c r="M120" s="15" t="n">
        <v>1</v>
      </c>
    </row>
    <row r="121" customFormat="false" ht="15" hidden="false" customHeight="false" outlineLevel="0" collapsed="false">
      <c r="A121" s="12" t="s">
        <v>43</v>
      </c>
      <c r="B121" s="7" t="s">
        <v>44</v>
      </c>
      <c r="C121" s="12" t="s">
        <v>63</v>
      </c>
      <c r="D121" s="7" t="s">
        <v>31</v>
      </c>
      <c r="E121" s="7" t="s">
        <v>32</v>
      </c>
      <c r="F121" s="12" t="n">
        <f aca="false">IF(D121=E121,1,0)</f>
        <v>0</v>
      </c>
      <c r="G121" s="13" t="n">
        <v>-0.0129533678756477</v>
      </c>
      <c r="H121" s="14" t="n">
        <v>0.354277413630741</v>
      </c>
      <c r="I121" s="14" t="n">
        <v>0.235452146197789</v>
      </c>
      <c r="J121" s="14" t="n">
        <v>0.410270440171471</v>
      </c>
      <c r="K121" s="12" t="s">
        <v>33</v>
      </c>
      <c r="L121" s="15" t="n">
        <v>857</v>
      </c>
      <c r="M121" s="15" t="n">
        <v>1</v>
      </c>
    </row>
    <row r="122" customFormat="false" ht="15" hidden="false" customHeight="false" outlineLevel="0" collapsed="false">
      <c r="A122" s="12" t="s">
        <v>28</v>
      </c>
      <c r="B122" s="7" t="s">
        <v>29</v>
      </c>
      <c r="C122" s="12" t="s">
        <v>64</v>
      </c>
      <c r="D122" s="7" t="s">
        <v>31</v>
      </c>
      <c r="E122" s="7" t="s">
        <v>32</v>
      </c>
      <c r="F122" s="12" t="n">
        <f aca="false">IF(D122=E122,1,0)</f>
        <v>0</v>
      </c>
      <c r="G122" s="13" t="n">
        <v>-0.0247747747747747</v>
      </c>
      <c r="H122" s="14" t="n">
        <v>0.352194663074567</v>
      </c>
      <c r="I122" s="14" t="n">
        <v>0.192999388562705</v>
      </c>
      <c r="J122" s="14" t="n">
        <v>0.454805948362728</v>
      </c>
      <c r="K122" s="12" t="s">
        <v>65</v>
      </c>
      <c r="L122" s="15" t="n">
        <v>977</v>
      </c>
      <c r="M122" s="15" t="n">
        <v>11</v>
      </c>
    </row>
    <row r="123" customFormat="false" ht="15" hidden="false" customHeight="false" outlineLevel="0" collapsed="false">
      <c r="A123" s="12" t="s">
        <v>34</v>
      </c>
      <c r="B123" s="7" t="s">
        <v>35</v>
      </c>
      <c r="C123" s="12" t="s">
        <v>64</v>
      </c>
      <c r="D123" s="7" t="s">
        <v>31</v>
      </c>
      <c r="E123" s="7" t="s">
        <v>31</v>
      </c>
      <c r="F123" s="12" t="n">
        <f aca="false">IF(D123=E123,1,0)</f>
        <v>1</v>
      </c>
      <c r="G123" s="13" t="n">
        <v>0.0527472527472527</v>
      </c>
      <c r="H123" s="14" t="n">
        <v>0.356714392632759</v>
      </c>
      <c r="I123" s="14" t="n">
        <v>0.209118209720635</v>
      </c>
      <c r="J123" s="14" t="n">
        <v>0.434167397646606</v>
      </c>
      <c r="K123" s="12" t="s">
        <v>65</v>
      </c>
      <c r="L123" s="15" t="n">
        <v>977</v>
      </c>
      <c r="M123" s="15" t="n">
        <v>11</v>
      </c>
    </row>
    <row r="124" customFormat="false" ht="15" hidden="false" customHeight="false" outlineLevel="0" collapsed="false">
      <c r="A124" s="12" t="s">
        <v>36</v>
      </c>
      <c r="B124" s="7" t="s">
        <v>37</v>
      </c>
      <c r="C124" s="12" t="s">
        <v>64</v>
      </c>
      <c r="D124" s="7" t="s">
        <v>31</v>
      </c>
      <c r="E124" s="7" t="s">
        <v>32</v>
      </c>
      <c r="F124" s="12" t="n">
        <f aca="false">IF(D124=E124,1,0)</f>
        <v>0</v>
      </c>
      <c r="G124" s="13" t="n">
        <v>-0.0109890109890109</v>
      </c>
      <c r="H124" s="14" t="n">
        <v>0.350744920318971</v>
      </c>
      <c r="I124" s="14" t="n">
        <v>0.212104503545919</v>
      </c>
      <c r="J124" s="14" t="n">
        <v>0.43715057613511</v>
      </c>
      <c r="K124" s="12" t="s">
        <v>65</v>
      </c>
      <c r="L124" s="15" t="n">
        <v>977</v>
      </c>
      <c r="M124" s="15" t="n">
        <v>11</v>
      </c>
    </row>
    <row r="125" customFormat="false" ht="15" hidden="false" customHeight="false" outlineLevel="0" collapsed="false">
      <c r="A125" s="12" t="s">
        <v>41</v>
      </c>
      <c r="B125" s="7" t="s">
        <v>42</v>
      </c>
      <c r="C125" s="12" t="s">
        <v>64</v>
      </c>
      <c r="D125" s="7" t="s">
        <v>31</v>
      </c>
      <c r="E125" s="7" t="s">
        <v>31</v>
      </c>
      <c r="F125" s="12" t="n">
        <f aca="false">IF(D125=E125,1,0)</f>
        <v>1</v>
      </c>
      <c r="G125" s="13" t="n">
        <v>0.0097087378640776</v>
      </c>
      <c r="H125" s="14" t="n">
        <v>0.324562749324181</v>
      </c>
      <c r="I125" s="14" t="n">
        <v>0.232799787954621</v>
      </c>
      <c r="J125" s="14" t="n">
        <v>0.442637462721198</v>
      </c>
      <c r="K125" s="12" t="s">
        <v>65</v>
      </c>
      <c r="L125" s="15" t="n">
        <v>977</v>
      </c>
      <c r="M125" s="15" t="n">
        <v>11</v>
      </c>
    </row>
    <row r="126" customFormat="false" ht="15" hidden="false" customHeight="false" outlineLevel="0" collapsed="false">
      <c r="A126" s="12" t="s">
        <v>43</v>
      </c>
      <c r="B126" s="7" t="s">
        <v>44</v>
      </c>
      <c r="C126" s="12" t="s">
        <v>64</v>
      </c>
      <c r="D126" s="7" t="s">
        <v>31</v>
      </c>
      <c r="E126" s="7" t="s">
        <v>31</v>
      </c>
      <c r="F126" s="12" t="n">
        <f aca="false">IF(D126=E126,1,0)</f>
        <v>1</v>
      </c>
      <c r="G126" s="13" t="n">
        <v>0.0131233595800523</v>
      </c>
      <c r="H126" s="14" t="n">
        <v>0.360338709586528</v>
      </c>
      <c r="I126" s="14" t="n">
        <v>0.2055554396413</v>
      </c>
      <c r="J126" s="14" t="n">
        <v>0.434105850772172</v>
      </c>
      <c r="K126" s="12" t="s">
        <v>65</v>
      </c>
      <c r="L126" s="15" t="n">
        <v>977</v>
      </c>
      <c r="M126" s="15" t="n">
        <v>11</v>
      </c>
    </row>
    <row r="127" customFormat="false" ht="15" hidden="false" customHeight="false" outlineLevel="0" collapsed="false">
      <c r="A127" s="12" t="s">
        <v>28</v>
      </c>
      <c r="B127" s="7" t="s">
        <v>29</v>
      </c>
      <c r="C127" s="12" t="s">
        <v>66</v>
      </c>
      <c r="D127" s="7" t="s">
        <v>31</v>
      </c>
      <c r="E127" s="7" t="s">
        <v>31</v>
      </c>
      <c r="F127" s="12" t="n">
        <f aca="false">IF(D127=E127,1,0)</f>
        <v>1</v>
      </c>
      <c r="G127" s="13" t="n">
        <v>0.0207852193995381</v>
      </c>
      <c r="H127" s="14" t="n">
        <v>0.374163378271531</v>
      </c>
      <c r="I127" s="14" t="n">
        <v>0.211548125499536</v>
      </c>
      <c r="J127" s="14" t="n">
        <v>0.414288496228933</v>
      </c>
      <c r="K127" s="12" t="s">
        <v>65</v>
      </c>
      <c r="L127" s="15" t="n">
        <v>977</v>
      </c>
      <c r="M127" s="15" t="n">
        <v>11</v>
      </c>
    </row>
    <row r="128" customFormat="false" ht="15" hidden="false" customHeight="false" outlineLevel="0" collapsed="false">
      <c r="A128" s="12" t="s">
        <v>34</v>
      </c>
      <c r="B128" s="7" t="s">
        <v>35</v>
      </c>
      <c r="C128" s="12" t="s">
        <v>66</v>
      </c>
      <c r="D128" s="7" t="s">
        <v>31</v>
      </c>
      <c r="E128" s="7" t="s">
        <v>31</v>
      </c>
      <c r="F128" s="12" t="n">
        <f aca="false">IF(D128=E128,1,0)</f>
        <v>1</v>
      </c>
      <c r="G128" s="13" t="n">
        <v>0.0521920668058455</v>
      </c>
      <c r="H128" s="14" t="n">
        <v>0.395230173134212</v>
      </c>
      <c r="I128" s="14" t="n">
        <v>0.192708665517711</v>
      </c>
      <c r="J128" s="14" t="n">
        <v>0.412061161348077</v>
      </c>
      <c r="K128" s="12" t="s">
        <v>65</v>
      </c>
      <c r="L128" s="15" t="n">
        <v>977</v>
      </c>
      <c r="M128" s="15" t="n">
        <v>11</v>
      </c>
    </row>
    <row r="129" customFormat="false" ht="15" hidden="false" customHeight="false" outlineLevel="0" collapsed="false">
      <c r="A129" s="12" t="s">
        <v>36</v>
      </c>
      <c r="B129" s="7" t="s">
        <v>37</v>
      </c>
      <c r="C129" s="12" t="s">
        <v>66</v>
      </c>
      <c r="D129" s="7" t="s">
        <v>31</v>
      </c>
      <c r="E129" s="7" t="s">
        <v>40</v>
      </c>
      <c r="F129" s="12" t="n">
        <f aca="false">IF(D129=E129,1,0)</f>
        <v>0</v>
      </c>
      <c r="G129" s="13" t="n">
        <v>0</v>
      </c>
      <c r="H129" s="14" t="n">
        <v>0.373826334889789</v>
      </c>
      <c r="I129" s="14" t="n">
        <v>0.199242228523959</v>
      </c>
      <c r="J129" s="14" t="n">
        <v>0.426931436586252</v>
      </c>
      <c r="K129" s="12" t="s">
        <v>65</v>
      </c>
      <c r="L129" s="15" t="n">
        <v>977</v>
      </c>
      <c r="M129" s="15" t="n">
        <v>11</v>
      </c>
    </row>
    <row r="130" customFormat="false" ht="15" hidden="false" customHeight="false" outlineLevel="0" collapsed="false">
      <c r="A130" s="12" t="s">
        <v>41</v>
      </c>
      <c r="B130" s="7" t="s">
        <v>42</v>
      </c>
      <c r="C130" s="12" t="s">
        <v>66</v>
      </c>
      <c r="D130" s="7" t="s">
        <v>31</v>
      </c>
      <c r="E130" s="7" t="s">
        <v>31</v>
      </c>
      <c r="F130" s="12" t="n">
        <f aca="false">IF(D130=E130,1,0)</f>
        <v>1</v>
      </c>
      <c r="G130" s="13" t="n">
        <v>0.0192307692307691</v>
      </c>
      <c r="H130" s="14" t="n">
        <v>0.344097486975888</v>
      </c>
      <c r="I130" s="14" t="n">
        <v>0.261713150699417</v>
      </c>
      <c r="J130" s="14" t="n">
        <v>0.394189362324695</v>
      </c>
      <c r="K130" s="12" t="s">
        <v>65</v>
      </c>
      <c r="L130" s="15" t="n">
        <v>977</v>
      </c>
      <c r="M130" s="15" t="n">
        <v>11</v>
      </c>
    </row>
    <row r="131" customFormat="false" ht="15" hidden="false" customHeight="false" outlineLevel="0" collapsed="false">
      <c r="A131" s="12" t="s">
        <v>43</v>
      </c>
      <c r="B131" s="7" t="s">
        <v>44</v>
      </c>
      <c r="C131" s="12" t="s">
        <v>66</v>
      </c>
      <c r="D131" s="7" t="s">
        <v>31</v>
      </c>
      <c r="E131" s="7" t="s">
        <v>31</v>
      </c>
      <c r="F131" s="12" t="n">
        <f aca="false">IF(D131=E131,1,0)</f>
        <v>1</v>
      </c>
      <c r="G131" s="13" t="n">
        <v>0.0194300518134715</v>
      </c>
      <c r="H131" s="14" t="n">
        <v>0.365659601263924</v>
      </c>
      <c r="I131" s="14" t="n">
        <v>0.225543723794591</v>
      </c>
      <c r="J131" s="14" t="n">
        <v>0.408796674941486</v>
      </c>
      <c r="K131" s="12" t="s">
        <v>65</v>
      </c>
      <c r="L131" s="15" t="n">
        <v>977</v>
      </c>
      <c r="M131" s="15" t="n">
        <v>11</v>
      </c>
    </row>
    <row r="132" customFormat="false" ht="15" hidden="false" customHeight="false" outlineLevel="0" collapsed="false">
      <c r="A132" s="12" t="s">
        <v>28</v>
      </c>
      <c r="B132" s="7" t="s">
        <v>29</v>
      </c>
      <c r="C132" s="12" t="s">
        <v>67</v>
      </c>
      <c r="D132" s="7" t="s">
        <v>31</v>
      </c>
      <c r="E132" s="7" t="s">
        <v>31</v>
      </c>
      <c r="F132" s="12" t="n">
        <f aca="false">IF(D132=E132,1,0)</f>
        <v>1</v>
      </c>
      <c r="G132" s="13" t="n">
        <v>0.0316742081447964</v>
      </c>
      <c r="H132" s="14" t="n">
        <v>0.341474670368275</v>
      </c>
      <c r="I132" s="14" t="n">
        <v>0.212599232150385</v>
      </c>
      <c r="J132" s="14" t="n">
        <v>0.44592609748134</v>
      </c>
      <c r="K132" s="12" t="s">
        <v>65</v>
      </c>
      <c r="L132" s="15" t="n">
        <v>977</v>
      </c>
      <c r="M132" s="15" t="n">
        <v>11</v>
      </c>
    </row>
    <row r="133" customFormat="false" ht="15" hidden="false" customHeight="false" outlineLevel="0" collapsed="false">
      <c r="A133" s="12" t="s">
        <v>34</v>
      </c>
      <c r="B133" s="7" t="s">
        <v>35</v>
      </c>
      <c r="C133" s="12" t="s">
        <v>67</v>
      </c>
      <c r="D133" s="7" t="s">
        <v>31</v>
      </c>
      <c r="E133" s="7" t="s">
        <v>31</v>
      </c>
      <c r="F133" s="12" t="n">
        <f aca="false">IF(D133=E133,1,0)</f>
        <v>1</v>
      </c>
      <c r="G133" s="13" t="n">
        <v>0.0059523809523809</v>
      </c>
      <c r="H133" s="14" t="n">
        <v>0.382056038264893</v>
      </c>
      <c r="I133" s="14" t="n">
        <v>0.205505141576775</v>
      </c>
      <c r="J133" s="14" t="n">
        <v>0.412438820158332</v>
      </c>
      <c r="K133" s="12" t="s">
        <v>65</v>
      </c>
      <c r="L133" s="15" t="n">
        <v>977</v>
      </c>
      <c r="M133" s="15" t="n">
        <v>11</v>
      </c>
    </row>
    <row r="134" customFormat="false" ht="15" hidden="false" customHeight="false" outlineLevel="0" collapsed="false">
      <c r="A134" s="12" t="s">
        <v>36</v>
      </c>
      <c r="B134" s="7" t="s">
        <v>37</v>
      </c>
      <c r="C134" s="12" t="s">
        <v>67</v>
      </c>
      <c r="D134" s="7" t="s">
        <v>31</v>
      </c>
      <c r="E134" s="7" t="s">
        <v>31</v>
      </c>
      <c r="F134" s="12" t="n">
        <f aca="false">IF(D134=E134,1,0)</f>
        <v>1</v>
      </c>
      <c r="G134" s="13" t="n">
        <v>0.0266666666666666</v>
      </c>
      <c r="H134" s="14" t="n">
        <v>0.374728647847299</v>
      </c>
      <c r="I134" s="14" t="n">
        <v>0.214738475451625</v>
      </c>
      <c r="J134" s="14" t="n">
        <v>0.410532876701076</v>
      </c>
      <c r="K134" s="12" t="s">
        <v>65</v>
      </c>
      <c r="L134" s="15" t="n">
        <v>977</v>
      </c>
      <c r="M134" s="15" t="n">
        <v>11</v>
      </c>
    </row>
    <row r="135" customFormat="false" ht="15" hidden="false" customHeight="false" outlineLevel="0" collapsed="false">
      <c r="A135" s="12" t="s">
        <v>38</v>
      </c>
      <c r="B135" s="7" t="s">
        <v>39</v>
      </c>
      <c r="C135" s="12" t="s">
        <v>67</v>
      </c>
      <c r="D135" s="7" t="s">
        <v>31</v>
      </c>
      <c r="E135" s="7" t="s">
        <v>40</v>
      </c>
      <c r="F135" s="12" t="n">
        <f aca="false">IF(D135=E135,1,0)</f>
        <v>0</v>
      </c>
      <c r="G135" s="13" t="n">
        <v>-0.0029154518950437</v>
      </c>
      <c r="H135" s="14" t="n">
        <v>0.37843130844959</v>
      </c>
      <c r="I135" s="14" t="n">
        <v>0.19641158207904</v>
      </c>
      <c r="J135" s="14" t="n">
        <v>0.42515710947137</v>
      </c>
      <c r="K135" s="12" t="s">
        <v>65</v>
      </c>
      <c r="L135" s="15" t="n">
        <v>977</v>
      </c>
      <c r="M135" s="15" t="n">
        <v>11</v>
      </c>
    </row>
    <row r="136" customFormat="false" ht="15" hidden="false" customHeight="false" outlineLevel="0" collapsed="false">
      <c r="A136" s="12" t="s">
        <v>41</v>
      </c>
      <c r="B136" s="7" t="s">
        <v>42</v>
      </c>
      <c r="C136" s="12" t="s">
        <v>67</v>
      </c>
      <c r="D136" s="7" t="s">
        <v>31</v>
      </c>
      <c r="E136" s="7" t="s">
        <v>31</v>
      </c>
      <c r="F136" s="12" t="n">
        <f aca="false">IF(D136=E136,1,0)</f>
        <v>1</v>
      </c>
      <c r="G136" s="13" t="n">
        <v>0.0070754716981131</v>
      </c>
      <c r="H136" s="14" t="n">
        <v>0.357313735594958</v>
      </c>
      <c r="I136" s="14" t="n">
        <v>0.232523442640236</v>
      </c>
      <c r="J136" s="14" t="n">
        <v>0.410162821764806</v>
      </c>
      <c r="K136" s="12" t="s">
        <v>65</v>
      </c>
      <c r="L136" s="15" t="n">
        <v>977</v>
      </c>
      <c r="M136" s="15" t="n">
        <v>11</v>
      </c>
    </row>
    <row r="137" customFormat="false" ht="15" hidden="false" customHeight="false" outlineLevel="0" collapsed="false">
      <c r="A137" s="12" t="s">
        <v>43</v>
      </c>
      <c r="B137" s="7" t="s">
        <v>44</v>
      </c>
      <c r="C137" s="12" t="s">
        <v>67</v>
      </c>
      <c r="D137" s="7" t="s">
        <v>31</v>
      </c>
      <c r="E137" s="7" t="s">
        <v>40</v>
      </c>
      <c r="F137" s="12" t="n">
        <f aca="false">IF(D137=E137,1,0)</f>
        <v>0</v>
      </c>
      <c r="G137" s="13" t="n">
        <v>0.0038119440914865</v>
      </c>
      <c r="H137" s="14" t="n">
        <v>0.365640819352339</v>
      </c>
      <c r="I137" s="14" t="n">
        <v>0.227297807333847</v>
      </c>
      <c r="J137" s="14" t="n">
        <v>0.407061373313815</v>
      </c>
      <c r="K137" s="12" t="s">
        <v>65</v>
      </c>
      <c r="L137" s="15" t="n">
        <v>977</v>
      </c>
      <c r="M137" s="15" t="n">
        <v>11</v>
      </c>
    </row>
    <row r="138" customFormat="false" ht="15" hidden="false" customHeight="false" outlineLevel="0" collapsed="false">
      <c r="A138" s="12" t="s">
        <v>28</v>
      </c>
      <c r="B138" s="7" t="s">
        <v>29</v>
      </c>
      <c r="C138" s="12" t="s">
        <v>68</v>
      </c>
      <c r="D138" s="7" t="s">
        <v>31</v>
      </c>
      <c r="E138" s="7" t="s">
        <v>32</v>
      </c>
      <c r="F138" s="12" t="n">
        <f aca="false">IF(D138=E138,1,0)</f>
        <v>0</v>
      </c>
      <c r="G138" s="13" t="n">
        <v>-0.0350877192982456</v>
      </c>
      <c r="H138" s="14" t="n">
        <v>0.364900289547243</v>
      </c>
      <c r="I138" s="14" t="n">
        <v>0.219647110483164</v>
      </c>
      <c r="J138" s="14" t="n">
        <v>0.415452599969593</v>
      </c>
      <c r="K138" s="12" t="s">
        <v>65</v>
      </c>
      <c r="L138" s="15" t="n">
        <v>977</v>
      </c>
      <c r="M138" s="15" t="n">
        <v>11</v>
      </c>
    </row>
    <row r="139" customFormat="false" ht="15" hidden="false" customHeight="false" outlineLevel="0" collapsed="false">
      <c r="A139" s="12" t="s">
        <v>34</v>
      </c>
      <c r="B139" s="7" t="s">
        <v>35</v>
      </c>
      <c r="C139" s="12" t="s">
        <v>68</v>
      </c>
      <c r="D139" s="7" t="s">
        <v>32</v>
      </c>
      <c r="E139" s="7" t="s">
        <v>32</v>
      </c>
      <c r="F139" s="12" t="n">
        <f aca="false">IF(D139=E139,1,0)</f>
        <v>1</v>
      </c>
      <c r="G139" s="13" t="n">
        <v>-0.0138067061143983</v>
      </c>
      <c r="H139" s="14" t="n">
        <v>0.396688568465175</v>
      </c>
      <c r="I139" s="14" t="n">
        <v>0.216421422396559</v>
      </c>
      <c r="J139" s="14" t="n">
        <v>0.386890009138267</v>
      </c>
      <c r="K139" s="12" t="s">
        <v>65</v>
      </c>
      <c r="L139" s="15" t="n">
        <v>977</v>
      </c>
      <c r="M139" s="15" t="n">
        <v>11</v>
      </c>
    </row>
    <row r="140" customFormat="false" ht="15" hidden="false" customHeight="false" outlineLevel="0" collapsed="false">
      <c r="A140" s="12" t="s">
        <v>36</v>
      </c>
      <c r="B140" s="7" t="s">
        <v>37</v>
      </c>
      <c r="C140" s="12" t="s">
        <v>68</v>
      </c>
      <c r="D140" s="7" t="s">
        <v>31</v>
      </c>
      <c r="E140" s="7" t="s">
        <v>32</v>
      </c>
      <c r="F140" s="12" t="n">
        <f aca="false">IF(D140=E140,1,0)</f>
        <v>0</v>
      </c>
      <c r="G140" s="13" t="n">
        <v>-0.0086580086580086</v>
      </c>
      <c r="H140" s="14" t="n">
        <v>0.368122405284945</v>
      </c>
      <c r="I140" s="14" t="n">
        <v>0.205360992163986</v>
      </c>
      <c r="J140" s="14" t="n">
        <v>0.426516602551069</v>
      </c>
      <c r="K140" s="12" t="s">
        <v>65</v>
      </c>
      <c r="L140" s="15" t="n">
        <v>977</v>
      </c>
      <c r="M140" s="15" t="n">
        <v>11</v>
      </c>
    </row>
    <row r="141" customFormat="false" ht="15" hidden="false" customHeight="false" outlineLevel="0" collapsed="false">
      <c r="A141" s="12" t="s">
        <v>38</v>
      </c>
      <c r="B141" s="7" t="s">
        <v>39</v>
      </c>
      <c r="C141" s="12" t="s">
        <v>68</v>
      </c>
      <c r="D141" s="7" t="s">
        <v>32</v>
      </c>
      <c r="E141" s="7" t="s">
        <v>31</v>
      </c>
      <c r="F141" s="12" t="n">
        <f aca="false">IF(D141=E141,1,0)</f>
        <v>0</v>
      </c>
      <c r="G141" s="13" t="n">
        <v>0.0614035087719297</v>
      </c>
      <c r="H141" s="14" t="n">
        <v>0.392459486268892</v>
      </c>
      <c r="I141" s="14" t="n">
        <v>0.221696550300947</v>
      </c>
      <c r="J141" s="14" t="n">
        <v>0.385843963430161</v>
      </c>
      <c r="K141" s="12" t="s">
        <v>65</v>
      </c>
      <c r="L141" s="15" t="n">
        <v>977</v>
      </c>
      <c r="M141" s="15" t="n">
        <v>11</v>
      </c>
    </row>
    <row r="142" customFormat="false" ht="15" hidden="false" customHeight="false" outlineLevel="0" collapsed="false">
      <c r="A142" s="12" t="s">
        <v>41</v>
      </c>
      <c r="B142" s="7" t="s">
        <v>42</v>
      </c>
      <c r="C142" s="12" t="s">
        <v>68</v>
      </c>
      <c r="D142" s="7" t="s">
        <v>32</v>
      </c>
      <c r="E142" s="7" t="s">
        <v>32</v>
      </c>
      <c r="F142" s="12" t="n">
        <f aca="false">IF(D142=E142,1,0)</f>
        <v>1</v>
      </c>
      <c r="G142" s="13" t="n">
        <v>-0.009367681498829</v>
      </c>
      <c r="H142" s="14" t="n">
        <v>0.379801069565682</v>
      </c>
      <c r="I142" s="14" t="n">
        <v>0.25495724071885</v>
      </c>
      <c r="J142" s="14" t="n">
        <v>0.365241689715468</v>
      </c>
      <c r="K142" s="12" t="s">
        <v>65</v>
      </c>
      <c r="L142" s="15" t="n">
        <v>977</v>
      </c>
      <c r="M142" s="15" t="n">
        <v>11</v>
      </c>
    </row>
    <row r="143" customFormat="false" ht="15" hidden="false" customHeight="false" outlineLevel="0" collapsed="false">
      <c r="A143" s="12" t="s">
        <v>43</v>
      </c>
      <c r="B143" s="7" t="s">
        <v>44</v>
      </c>
      <c r="C143" s="12" t="s">
        <v>68</v>
      </c>
      <c r="D143" s="7" t="s">
        <v>32</v>
      </c>
      <c r="E143" s="7" t="s">
        <v>31</v>
      </c>
      <c r="F143" s="12" t="n">
        <f aca="false">IF(D143=E143,1,0)</f>
        <v>0</v>
      </c>
      <c r="G143" s="13" t="n">
        <v>0.0126582278481013</v>
      </c>
      <c r="H143" s="14" t="n">
        <v>0.3912907767045</v>
      </c>
      <c r="I143" s="14" t="n">
        <v>0.251432197785369</v>
      </c>
      <c r="J143" s="14" t="n">
        <v>0.357277025510131</v>
      </c>
      <c r="K143" s="12" t="s">
        <v>65</v>
      </c>
      <c r="L143" s="15" t="n">
        <v>977</v>
      </c>
      <c r="M143" s="15" t="n">
        <v>11</v>
      </c>
    </row>
    <row r="144" customFormat="false" ht="15" hidden="false" customHeight="false" outlineLevel="0" collapsed="false">
      <c r="A144" s="12" t="s">
        <v>28</v>
      </c>
      <c r="B144" s="7" t="s">
        <v>29</v>
      </c>
      <c r="C144" s="12" t="s">
        <v>69</v>
      </c>
      <c r="D144" s="7" t="s">
        <v>31</v>
      </c>
      <c r="E144" s="7" t="s">
        <v>31</v>
      </c>
      <c r="F144" s="12" t="n">
        <f aca="false">IF(D144=E144,1,0)</f>
        <v>1</v>
      </c>
      <c r="G144" s="13" t="n">
        <v>0.0204545454545455</v>
      </c>
      <c r="H144" s="14" t="n">
        <v>0.381331416736486</v>
      </c>
      <c r="I144" s="14" t="n">
        <v>0.212619084584826</v>
      </c>
      <c r="J144" s="14" t="n">
        <v>0.406049498678689</v>
      </c>
      <c r="K144" s="12" t="s">
        <v>65</v>
      </c>
      <c r="L144" s="15" t="n">
        <v>977</v>
      </c>
      <c r="M144" s="15" t="n">
        <v>11</v>
      </c>
    </row>
    <row r="145" customFormat="false" ht="15" hidden="false" customHeight="false" outlineLevel="0" collapsed="false">
      <c r="A145" s="12" t="s">
        <v>34</v>
      </c>
      <c r="B145" s="7" t="s">
        <v>35</v>
      </c>
      <c r="C145" s="12" t="s">
        <v>69</v>
      </c>
      <c r="D145" s="7" t="s">
        <v>32</v>
      </c>
      <c r="E145" s="7" t="s">
        <v>31</v>
      </c>
      <c r="F145" s="12" t="n">
        <f aca="false">IF(D145=E145,1,0)</f>
        <v>0</v>
      </c>
      <c r="G145" s="13" t="n">
        <v>0.008</v>
      </c>
      <c r="H145" s="14" t="n">
        <v>0.406155822127941</v>
      </c>
      <c r="I145" s="14" t="n">
        <v>0.223333705703842</v>
      </c>
      <c r="J145" s="14" t="n">
        <v>0.370510472168216</v>
      </c>
      <c r="K145" s="12" t="s">
        <v>65</v>
      </c>
      <c r="L145" s="15" t="n">
        <v>977</v>
      </c>
      <c r="M145" s="15" t="n">
        <v>11</v>
      </c>
    </row>
    <row r="146" customFormat="false" ht="15" hidden="false" customHeight="false" outlineLevel="0" collapsed="false">
      <c r="A146" s="12" t="s">
        <v>36</v>
      </c>
      <c r="B146" s="7" t="s">
        <v>37</v>
      </c>
      <c r="C146" s="12" t="s">
        <v>69</v>
      </c>
      <c r="D146" s="7" t="s">
        <v>32</v>
      </c>
      <c r="E146" s="7" t="s">
        <v>32</v>
      </c>
      <c r="F146" s="12" t="n">
        <f aca="false">IF(D146=E146,1,0)</f>
        <v>1</v>
      </c>
      <c r="G146" s="13" t="n">
        <v>-0.0240174672489082</v>
      </c>
      <c r="H146" s="14" t="n">
        <v>0.397410811534039</v>
      </c>
      <c r="I146" s="14" t="n">
        <v>0.217623684582075</v>
      </c>
      <c r="J146" s="14" t="n">
        <v>0.384965503883886</v>
      </c>
      <c r="K146" s="12" t="s">
        <v>65</v>
      </c>
      <c r="L146" s="15" t="n">
        <v>977</v>
      </c>
      <c r="M146" s="15" t="n">
        <v>11</v>
      </c>
    </row>
    <row r="147" customFormat="false" ht="15" hidden="false" customHeight="false" outlineLevel="0" collapsed="false">
      <c r="A147" s="12" t="s">
        <v>38</v>
      </c>
      <c r="B147" s="7" t="s">
        <v>39</v>
      </c>
      <c r="C147" s="12" t="s">
        <v>69</v>
      </c>
      <c r="D147" s="7" t="s">
        <v>31</v>
      </c>
      <c r="E147" s="7" t="s">
        <v>31</v>
      </c>
      <c r="F147" s="12" t="n">
        <f aca="false">IF(D147=E147,1,0)</f>
        <v>1</v>
      </c>
      <c r="G147" s="13" t="n">
        <v>0.0688705234159778</v>
      </c>
      <c r="H147" s="14" t="n">
        <v>0.372459943716882</v>
      </c>
      <c r="I147" s="14" t="n">
        <v>0.209129669265756</v>
      </c>
      <c r="J147" s="14" t="n">
        <v>0.418410387017362</v>
      </c>
      <c r="K147" s="12" t="s">
        <v>65</v>
      </c>
      <c r="L147" s="15" t="n">
        <v>977</v>
      </c>
      <c r="M147" s="15" t="n">
        <v>11</v>
      </c>
    </row>
    <row r="148" customFormat="false" ht="15" hidden="false" customHeight="false" outlineLevel="0" collapsed="false">
      <c r="A148" s="12" t="s">
        <v>41</v>
      </c>
      <c r="B148" s="7" t="s">
        <v>42</v>
      </c>
      <c r="C148" s="12" t="s">
        <v>69</v>
      </c>
      <c r="D148" s="7" t="s">
        <v>31</v>
      </c>
      <c r="E148" s="7" t="s">
        <v>31</v>
      </c>
      <c r="F148" s="12" t="n">
        <f aca="false">IF(D148=E148,1,0)</f>
        <v>1</v>
      </c>
      <c r="G148" s="13" t="n">
        <v>0.011820330969267</v>
      </c>
      <c r="H148" s="14" t="n">
        <v>0.362081031905509</v>
      </c>
      <c r="I148" s="14" t="n">
        <v>0.247371457487804</v>
      </c>
      <c r="J148" s="14" t="n">
        <v>0.390547510606687</v>
      </c>
      <c r="K148" s="12" t="s">
        <v>65</v>
      </c>
      <c r="L148" s="15" t="n">
        <v>977</v>
      </c>
      <c r="M148" s="15" t="n">
        <v>11</v>
      </c>
    </row>
    <row r="149" customFormat="false" ht="15" hidden="false" customHeight="false" outlineLevel="0" collapsed="false">
      <c r="A149" s="12" t="s">
        <v>43</v>
      </c>
      <c r="B149" s="7" t="s">
        <v>44</v>
      </c>
      <c r="C149" s="12" t="s">
        <v>69</v>
      </c>
      <c r="D149" s="7" t="s">
        <v>31</v>
      </c>
      <c r="E149" s="7" t="s">
        <v>32</v>
      </c>
      <c r="F149" s="12" t="n">
        <f aca="false">IF(D149=E149,1,0)</f>
        <v>0</v>
      </c>
      <c r="G149" s="13" t="n">
        <v>-0.0199999999999999</v>
      </c>
      <c r="H149" s="14" t="n">
        <v>0.352647021908301</v>
      </c>
      <c r="I149" s="14" t="n">
        <v>0.197834245498609</v>
      </c>
      <c r="J149" s="14" t="n">
        <v>0.44951873259309</v>
      </c>
      <c r="K149" s="12" t="s">
        <v>65</v>
      </c>
      <c r="L149" s="15" t="n">
        <v>977</v>
      </c>
      <c r="M149" s="15" t="n">
        <v>11</v>
      </c>
    </row>
    <row r="150" customFormat="false" ht="15" hidden="false" customHeight="false" outlineLevel="0" collapsed="false">
      <c r="A150" s="12" t="s">
        <v>28</v>
      </c>
      <c r="B150" s="7" t="s">
        <v>29</v>
      </c>
      <c r="C150" s="12" t="s">
        <v>70</v>
      </c>
      <c r="D150" s="7" t="s">
        <v>31</v>
      </c>
      <c r="E150" s="7" t="s">
        <v>32</v>
      </c>
      <c r="F150" s="12" t="n">
        <f aca="false">IF(D150=E150,1,0)</f>
        <v>0</v>
      </c>
      <c r="G150" s="13" t="n">
        <v>-0.022271714922049</v>
      </c>
      <c r="H150" s="14" t="n">
        <v>0.32597725551491</v>
      </c>
      <c r="I150" s="14" t="n">
        <v>0.212452964408855</v>
      </c>
      <c r="J150" s="14" t="n">
        <v>0.461569780076236</v>
      </c>
      <c r="K150" s="12" t="s">
        <v>65</v>
      </c>
      <c r="L150" s="15" t="n">
        <v>977</v>
      </c>
      <c r="M150" s="15" t="n">
        <v>11</v>
      </c>
    </row>
    <row r="151" customFormat="false" ht="15" hidden="false" customHeight="false" outlineLevel="0" collapsed="false">
      <c r="A151" s="12" t="s">
        <v>34</v>
      </c>
      <c r="B151" s="7" t="s">
        <v>35</v>
      </c>
      <c r="C151" s="12" t="s">
        <v>70</v>
      </c>
      <c r="D151" s="7" t="s">
        <v>31</v>
      </c>
      <c r="E151" s="7" t="s">
        <v>32</v>
      </c>
      <c r="F151" s="12" t="n">
        <f aca="false">IF(D151=E151,1,0)</f>
        <v>0</v>
      </c>
      <c r="G151" s="13" t="n">
        <v>-0.0079365079365079</v>
      </c>
      <c r="H151" s="14" t="n">
        <v>0.344823252755764</v>
      </c>
      <c r="I151" s="14" t="n">
        <v>0.205565048102752</v>
      </c>
      <c r="J151" s="14" t="n">
        <v>0.449611699141484</v>
      </c>
      <c r="K151" s="12" t="s">
        <v>65</v>
      </c>
      <c r="L151" s="15" t="n">
        <v>977</v>
      </c>
      <c r="M151" s="15" t="n">
        <v>11</v>
      </c>
    </row>
    <row r="152" customFormat="false" ht="15" hidden="false" customHeight="false" outlineLevel="0" collapsed="false">
      <c r="A152" s="12" t="s">
        <v>36</v>
      </c>
      <c r="B152" s="7" t="s">
        <v>37</v>
      </c>
      <c r="C152" s="12" t="s">
        <v>70</v>
      </c>
      <c r="D152" s="7" t="s">
        <v>31</v>
      </c>
      <c r="E152" s="7" t="s">
        <v>31</v>
      </c>
      <c r="F152" s="12" t="n">
        <f aca="false">IF(D152=E152,1,0)</f>
        <v>1</v>
      </c>
      <c r="G152" s="13" t="n">
        <v>0.0089485458612974</v>
      </c>
      <c r="H152" s="14" t="n">
        <v>0.385151638565972</v>
      </c>
      <c r="I152" s="14" t="n">
        <v>0.184304355091395</v>
      </c>
      <c r="J152" s="14" t="n">
        <v>0.430544006342633</v>
      </c>
      <c r="K152" s="12" t="s">
        <v>65</v>
      </c>
      <c r="L152" s="15" t="n">
        <v>977</v>
      </c>
      <c r="M152" s="15" t="n">
        <v>11</v>
      </c>
    </row>
    <row r="153" customFormat="false" ht="15" hidden="false" customHeight="false" outlineLevel="0" collapsed="false">
      <c r="A153" s="12" t="s">
        <v>38</v>
      </c>
      <c r="B153" s="7" t="s">
        <v>39</v>
      </c>
      <c r="C153" s="12" t="s">
        <v>70</v>
      </c>
      <c r="D153" s="7" t="s">
        <v>31</v>
      </c>
      <c r="E153" s="7" t="s">
        <v>32</v>
      </c>
      <c r="F153" s="12" t="n">
        <f aca="false">IF(D153=E153,1,0)</f>
        <v>0</v>
      </c>
      <c r="G153" s="13" t="n">
        <v>-0.0463917525773195</v>
      </c>
      <c r="H153" s="14" t="n">
        <v>0.366882464936621</v>
      </c>
      <c r="I153" s="14" t="n">
        <v>0.201210472016151</v>
      </c>
      <c r="J153" s="14" t="n">
        <v>0.431907063047228</v>
      </c>
      <c r="K153" s="12" t="s">
        <v>65</v>
      </c>
      <c r="L153" s="15" t="n">
        <v>977</v>
      </c>
      <c r="M153" s="15" t="n">
        <v>11</v>
      </c>
    </row>
    <row r="154" customFormat="false" ht="15" hidden="false" customHeight="false" outlineLevel="0" collapsed="false">
      <c r="A154" s="12" t="s">
        <v>41</v>
      </c>
      <c r="B154" s="7" t="s">
        <v>42</v>
      </c>
      <c r="C154" s="12" t="s">
        <v>70</v>
      </c>
      <c r="D154" s="7" t="s">
        <v>32</v>
      </c>
      <c r="E154" s="7" t="s">
        <v>40</v>
      </c>
      <c r="F154" s="12" t="n">
        <f aca="false">IF(D154=E154,1,0)</f>
        <v>0</v>
      </c>
      <c r="G154" s="13" t="n">
        <v>0</v>
      </c>
      <c r="H154" s="14" t="n">
        <v>0.372490908466164</v>
      </c>
      <c r="I154" s="14" t="n">
        <v>0.262592683572537</v>
      </c>
      <c r="J154" s="14" t="n">
        <v>0.364916407961298</v>
      </c>
      <c r="K154" s="12" t="s">
        <v>65</v>
      </c>
      <c r="L154" s="15" t="n">
        <v>977</v>
      </c>
      <c r="M154" s="15" t="n">
        <v>11</v>
      </c>
    </row>
    <row r="155" customFormat="false" ht="15" hidden="false" customHeight="false" outlineLevel="0" collapsed="false">
      <c r="A155" s="12" t="s">
        <v>43</v>
      </c>
      <c r="B155" s="7" t="s">
        <v>44</v>
      </c>
      <c r="C155" s="12" t="s">
        <v>70</v>
      </c>
      <c r="D155" s="7" t="s">
        <v>31</v>
      </c>
      <c r="E155" s="7" t="s">
        <v>32</v>
      </c>
      <c r="F155" s="12" t="n">
        <f aca="false">IF(D155=E155,1,0)</f>
        <v>0</v>
      </c>
      <c r="G155" s="13" t="n">
        <v>-0.0255102040816326</v>
      </c>
      <c r="H155" s="14" t="n">
        <v>0.354757111284041</v>
      </c>
      <c r="I155" s="14" t="n">
        <v>0.236565628842043</v>
      </c>
      <c r="J155" s="14" t="n">
        <v>0.408677259873916</v>
      </c>
      <c r="K155" s="12" t="s">
        <v>65</v>
      </c>
      <c r="L155" s="15" t="n">
        <v>977</v>
      </c>
      <c r="M155" s="15" t="n">
        <v>11</v>
      </c>
    </row>
    <row r="156" customFormat="false" ht="15" hidden="false" customHeight="false" outlineLevel="0" collapsed="false">
      <c r="A156" s="12" t="s">
        <v>28</v>
      </c>
      <c r="B156" s="7" t="s">
        <v>29</v>
      </c>
      <c r="C156" s="12" t="s">
        <v>71</v>
      </c>
      <c r="D156" s="7" t="s">
        <v>31</v>
      </c>
      <c r="E156" s="7" t="s">
        <v>32</v>
      </c>
      <c r="F156" s="12" t="n">
        <f aca="false">IF(D156=E156,1,0)</f>
        <v>0</v>
      </c>
      <c r="G156" s="13" t="n">
        <v>-0.0136674259681093</v>
      </c>
      <c r="H156" s="14" t="n">
        <v>0.354890932613835</v>
      </c>
      <c r="I156" s="14" t="n">
        <v>0.207013105391463</v>
      </c>
      <c r="J156" s="14" t="n">
        <v>0.438095961994702</v>
      </c>
      <c r="K156" s="12" t="s">
        <v>65</v>
      </c>
      <c r="L156" s="15" t="n">
        <v>977</v>
      </c>
      <c r="M156" s="15" t="n">
        <v>11</v>
      </c>
    </row>
    <row r="157" customFormat="false" ht="15" hidden="false" customHeight="false" outlineLevel="0" collapsed="false">
      <c r="A157" s="12" t="s">
        <v>34</v>
      </c>
      <c r="B157" s="7" t="s">
        <v>35</v>
      </c>
      <c r="C157" s="12" t="s">
        <v>71</v>
      </c>
      <c r="D157" s="7" t="s">
        <v>31</v>
      </c>
      <c r="E157" s="7" t="s">
        <v>40</v>
      </c>
      <c r="F157" s="12" t="n">
        <f aca="false">IF(D157=E157,1,0)</f>
        <v>0</v>
      </c>
      <c r="G157" s="13" t="n">
        <v>0.004</v>
      </c>
      <c r="H157" s="14" t="n">
        <v>0.335920874946201</v>
      </c>
      <c r="I157" s="14" t="n">
        <v>0.230964621555639</v>
      </c>
      <c r="J157" s="14" t="n">
        <v>0.43311450349816</v>
      </c>
      <c r="K157" s="12" t="s">
        <v>65</v>
      </c>
      <c r="L157" s="15" t="n">
        <v>977</v>
      </c>
      <c r="M157" s="15" t="n">
        <v>11</v>
      </c>
    </row>
    <row r="158" customFormat="false" ht="15" hidden="false" customHeight="false" outlineLevel="0" collapsed="false">
      <c r="A158" s="12" t="s">
        <v>36</v>
      </c>
      <c r="B158" s="7" t="s">
        <v>37</v>
      </c>
      <c r="C158" s="12" t="s">
        <v>71</v>
      </c>
      <c r="D158" s="7" t="s">
        <v>31</v>
      </c>
      <c r="E158" s="7" t="s">
        <v>32</v>
      </c>
      <c r="F158" s="12" t="n">
        <f aca="false">IF(D158=E158,1,0)</f>
        <v>0</v>
      </c>
      <c r="G158" s="13" t="n">
        <v>-0.015521064301552</v>
      </c>
      <c r="H158" s="14" t="n">
        <v>0.386621324184442</v>
      </c>
      <c r="I158" s="14" t="n">
        <v>0.179450611656326</v>
      </c>
      <c r="J158" s="14" t="n">
        <v>0.433928064159232</v>
      </c>
      <c r="K158" s="12" t="s">
        <v>65</v>
      </c>
      <c r="L158" s="15" t="n">
        <v>977</v>
      </c>
      <c r="M158" s="15" t="n">
        <v>11</v>
      </c>
    </row>
    <row r="159" customFormat="false" ht="15" hidden="false" customHeight="false" outlineLevel="0" collapsed="false">
      <c r="A159" s="12" t="s">
        <v>38</v>
      </c>
      <c r="B159" s="7" t="s">
        <v>39</v>
      </c>
      <c r="C159" s="12" t="s">
        <v>71</v>
      </c>
      <c r="D159" s="7" t="s">
        <v>31</v>
      </c>
      <c r="E159" s="7" t="s">
        <v>32</v>
      </c>
      <c r="F159" s="12" t="n">
        <f aca="false">IF(D159=E159,1,0)</f>
        <v>0</v>
      </c>
      <c r="G159" s="13" t="n">
        <v>-0.0554054054054053</v>
      </c>
      <c r="H159" s="14" t="n">
        <v>0.361051652994572</v>
      </c>
      <c r="I159" s="14" t="n">
        <v>0.206146834443802</v>
      </c>
      <c r="J159" s="14" t="n">
        <v>0.432801512561626</v>
      </c>
      <c r="K159" s="12" t="s">
        <v>65</v>
      </c>
      <c r="L159" s="15" t="n">
        <v>977</v>
      </c>
      <c r="M159" s="15" t="n">
        <v>11</v>
      </c>
    </row>
    <row r="160" customFormat="false" ht="15" hidden="false" customHeight="false" outlineLevel="0" collapsed="false">
      <c r="A160" s="12" t="s">
        <v>41</v>
      </c>
      <c r="B160" s="7" t="s">
        <v>42</v>
      </c>
      <c r="C160" s="12" t="s">
        <v>71</v>
      </c>
      <c r="D160" s="7" t="s">
        <v>31</v>
      </c>
      <c r="E160" s="7" t="s">
        <v>32</v>
      </c>
      <c r="F160" s="12" t="n">
        <f aca="false">IF(D160=E160,1,0)</f>
        <v>0</v>
      </c>
      <c r="G160" s="13" t="n">
        <v>-0.0186915887850467</v>
      </c>
      <c r="H160" s="14" t="n">
        <v>0.328411810836663</v>
      </c>
      <c r="I160" s="14" t="n">
        <v>0.268276161193346</v>
      </c>
      <c r="J160" s="14" t="n">
        <v>0.403312027969991</v>
      </c>
      <c r="K160" s="12" t="s">
        <v>65</v>
      </c>
      <c r="L160" s="15" t="n">
        <v>977</v>
      </c>
      <c r="M160" s="15" t="n">
        <v>11</v>
      </c>
    </row>
    <row r="161" customFormat="false" ht="15" hidden="false" customHeight="false" outlineLevel="0" collapsed="false">
      <c r="A161" s="12" t="s">
        <v>43</v>
      </c>
      <c r="B161" s="7" t="s">
        <v>44</v>
      </c>
      <c r="C161" s="12" t="s">
        <v>71</v>
      </c>
      <c r="D161" s="7" t="s">
        <v>31</v>
      </c>
      <c r="E161" s="7" t="s">
        <v>31</v>
      </c>
      <c r="F161" s="12" t="n">
        <f aca="false">IF(D161=E161,1,0)</f>
        <v>1</v>
      </c>
      <c r="G161" s="13" t="n">
        <v>0.0117801047120418</v>
      </c>
      <c r="H161" s="14" t="n">
        <v>0.389975445734598</v>
      </c>
      <c r="I161" s="14" t="n">
        <v>0.178715177833836</v>
      </c>
      <c r="J161" s="14" t="n">
        <v>0.431309376431566</v>
      </c>
      <c r="K161" s="12" t="s">
        <v>65</v>
      </c>
      <c r="L161" s="15" t="n">
        <v>977</v>
      </c>
      <c r="M161" s="15" t="n">
        <v>11</v>
      </c>
    </row>
    <row r="162" customFormat="false" ht="15" hidden="false" customHeight="false" outlineLevel="0" collapsed="false">
      <c r="A162" s="12" t="s">
        <v>28</v>
      </c>
      <c r="B162" s="7" t="s">
        <v>29</v>
      </c>
      <c r="C162" s="12" t="s">
        <v>72</v>
      </c>
      <c r="D162" s="7" t="s">
        <v>31</v>
      </c>
      <c r="E162" s="7" t="s">
        <v>40</v>
      </c>
      <c r="F162" s="12" t="n">
        <f aca="false">IF(D162=E162,1,0)</f>
        <v>0</v>
      </c>
      <c r="G162" s="13" t="n">
        <v>-0.0046189376443418</v>
      </c>
      <c r="H162" s="14" t="n">
        <v>0.352754497387358</v>
      </c>
      <c r="I162" s="14" t="n">
        <v>0.196202300802771</v>
      </c>
      <c r="J162" s="14" t="n">
        <v>0.451043201809871</v>
      </c>
      <c r="K162" s="12" t="s">
        <v>65</v>
      </c>
      <c r="L162" s="15" t="n">
        <v>977</v>
      </c>
      <c r="M162" s="15" t="n">
        <v>11</v>
      </c>
    </row>
    <row r="163" customFormat="false" ht="15" hidden="false" customHeight="false" outlineLevel="0" collapsed="false">
      <c r="A163" s="12" t="s">
        <v>34</v>
      </c>
      <c r="B163" s="7" t="s">
        <v>35</v>
      </c>
      <c r="C163" s="12" t="s">
        <v>72</v>
      </c>
      <c r="D163" s="7" t="s">
        <v>32</v>
      </c>
      <c r="E163" s="7" t="s">
        <v>32</v>
      </c>
      <c r="F163" s="12" t="n">
        <f aca="false">IF(D163=E163,1,0)</f>
        <v>1</v>
      </c>
      <c r="G163" s="13" t="n">
        <v>-0.0258964143426294</v>
      </c>
      <c r="H163" s="14" t="n">
        <v>0.409723951334696</v>
      </c>
      <c r="I163" s="14" t="n">
        <v>0.201582374957934</v>
      </c>
      <c r="J163" s="14" t="n">
        <v>0.38869367370737</v>
      </c>
      <c r="K163" s="12" t="s">
        <v>65</v>
      </c>
      <c r="L163" s="15" t="n">
        <v>977</v>
      </c>
      <c r="M163" s="15" t="n">
        <v>11</v>
      </c>
    </row>
    <row r="164" customFormat="false" ht="15" hidden="false" customHeight="false" outlineLevel="0" collapsed="false">
      <c r="A164" s="12" t="s">
        <v>36</v>
      </c>
      <c r="B164" s="7" t="s">
        <v>37</v>
      </c>
      <c r="C164" s="12" t="s">
        <v>72</v>
      </c>
      <c r="D164" s="7" t="s">
        <v>32</v>
      </c>
      <c r="E164" s="7" t="s">
        <v>31</v>
      </c>
      <c r="F164" s="12" t="n">
        <f aca="false">IF(D164=E164,1,0)</f>
        <v>0</v>
      </c>
      <c r="G164" s="13" t="n">
        <v>0.0225225225225225</v>
      </c>
      <c r="H164" s="14" t="n">
        <v>0.393026567448985</v>
      </c>
      <c r="I164" s="14" t="n">
        <v>0.214728081073997</v>
      </c>
      <c r="J164" s="14" t="n">
        <v>0.392245351477017</v>
      </c>
      <c r="K164" s="12" t="s">
        <v>65</v>
      </c>
      <c r="L164" s="15" t="n">
        <v>977</v>
      </c>
      <c r="M164" s="15" t="n">
        <v>11</v>
      </c>
    </row>
    <row r="165" customFormat="false" ht="15" hidden="false" customHeight="false" outlineLevel="0" collapsed="false">
      <c r="A165" s="12" t="s">
        <v>38</v>
      </c>
      <c r="B165" s="7" t="s">
        <v>39</v>
      </c>
      <c r="C165" s="12" t="s">
        <v>72</v>
      </c>
      <c r="D165" s="7" t="s">
        <v>31</v>
      </c>
      <c r="E165" s="7" t="s">
        <v>32</v>
      </c>
      <c r="F165" s="12" t="n">
        <f aca="false">IF(D165=E165,1,0)</f>
        <v>0</v>
      </c>
      <c r="G165" s="13" t="n">
        <v>-0.0257510729613733</v>
      </c>
      <c r="H165" s="14" t="n">
        <v>0.372595803801624</v>
      </c>
      <c r="I165" s="14" t="n">
        <v>0.210413793622772</v>
      </c>
      <c r="J165" s="14" t="n">
        <v>0.416990402575604</v>
      </c>
      <c r="K165" s="12" t="s">
        <v>65</v>
      </c>
      <c r="L165" s="15" t="n">
        <v>977</v>
      </c>
      <c r="M165" s="15" t="n">
        <v>11</v>
      </c>
    </row>
    <row r="166" customFormat="false" ht="15" hidden="false" customHeight="false" outlineLevel="0" collapsed="false">
      <c r="A166" s="12" t="s">
        <v>41</v>
      </c>
      <c r="B166" s="7" t="s">
        <v>42</v>
      </c>
      <c r="C166" s="12" t="s">
        <v>72</v>
      </c>
      <c r="D166" s="7" t="s">
        <v>31</v>
      </c>
      <c r="E166" s="7" t="s">
        <v>31</v>
      </c>
      <c r="F166" s="12" t="n">
        <f aca="false">IF(D166=E166,1,0)</f>
        <v>1</v>
      </c>
      <c r="G166" s="13" t="n">
        <v>0.0071428571428571</v>
      </c>
      <c r="H166" s="14" t="n">
        <v>0.347820996411505</v>
      </c>
      <c r="I166" s="14" t="n">
        <v>0.230495184830593</v>
      </c>
      <c r="J166" s="14" t="n">
        <v>0.421683818757902</v>
      </c>
      <c r="K166" s="12" t="s">
        <v>65</v>
      </c>
      <c r="L166" s="15" t="n">
        <v>977</v>
      </c>
      <c r="M166" s="15" t="n">
        <v>11</v>
      </c>
    </row>
    <row r="167" customFormat="false" ht="15" hidden="false" customHeight="false" outlineLevel="0" collapsed="false">
      <c r="A167" s="12" t="s">
        <v>43</v>
      </c>
      <c r="B167" s="7" t="s">
        <v>44</v>
      </c>
      <c r="C167" s="12" t="s">
        <v>72</v>
      </c>
      <c r="D167" s="7" t="s">
        <v>31</v>
      </c>
      <c r="E167" s="7" t="s">
        <v>32</v>
      </c>
      <c r="F167" s="12" t="n">
        <f aca="false">IF(D167=E167,1,0)</f>
        <v>0</v>
      </c>
      <c r="G167" s="13" t="n">
        <v>-0.0077619663648123</v>
      </c>
      <c r="H167" s="14" t="n">
        <v>0.396829165479018</v>
      </c>
      <c r="I167" s="14" t="n">
        <v>0.202712480708883</v>
      </c>
      <c r="J167" s="14" t="n">
        <v>0.400458353812099</v>
      </c>
      <c r="K167" s="12" t="s">
        <v>65</v>
      </c>
      <c r="L167" s="15" t="n">
        <v>977</v>
      </c>
      <c r="M167" s="15" t="n">
        <v>11</v>
      </c>
    </row>
    <row r="168" customFormat="false" ht="15" hidden="false" customHeight="false" outlineLevel="0" collapsed="false">
      <c r="A168" s="12" t="s">
        <v>28</v>
      </c>
      <c r="B168" s="7" t="s">
        <v>29</v>
      </c>
      <c r="C168" s="12" t="s">
        <v>73</v>
      </c>
      <c r="D168" s="7" t="s">
        <v>31</v>
      </c>
      <c r="E168" s="7" t="s">
        <v>32</v>
      </c>
      <c r="F168" s="12" t="n">
        <f aca="false">IF(D168=E168,1,0)</f>
        <v>0</v>
      </c>
      <c r="G168" s="13" t="n">
        <v>-0.037122969837587</v>
      </c>
      <c r="H168" s="14" t="n">
        <v>0.378345728265416</v>
      </c>
      <c r="I168" s="14" t="n">
        <v>0.200060558015813</v>
      </c>
      <c r="J168" s="14" t="n">
        <v>0.421593713718771</v>
      </c>
      <c r="K168" s="12" t="s">
        <v>65</v>
      </c>
      <c r="L168" s="15" t="n">
        <v>977</v>
      </c>
      <c r="M168" s="15" t="n">
        <v>11</v>
      </c>
    </row>
    <row r="169" customFormat="false" ht="15" hidden="false" customHeight="false" outlineLevel="0" collapsed="false">
      <c r="A169" s="12" t="s">
        <v>34</v>
      </c>
      <c r="B169" s="7" t="s">
        <v>35</v>
      </c>
      <c r="C169" s="12" t="s">
        <v>73</v>
      </c>
      <c r="D169" s="7" t="s">
        <v>31</v>
      </c>
      <c r="E169" s="7" t="s">
        <v>31</v>
      </c>
      <c r="F169" s="12" t="n">
        <f aca="false">IF(D169=E169,1,0)</f>
        <v>1</v>
      </c>
      <c r="G169" s="13" t="n">
        <v>0.016359918200409</v>
      </c>
      <c r="H169" s="14" t="n">
        <v>0.365085407251684</v>
      </c>
      <c r="I169" s="14" t="n">
        <v>0.207560469214262</v>
      </c>
      <c r="J169" s="14" t="n">
        <v>0.427354123534054</v>
      </c>
      <c r="K169" s="12" t="s">
        <v>65</v>
      </c>
      <c r="L169" s="15" t="n">
        <v>977</v>
      </c>
      <c r="M169" s="15" t="n">
        <v>11</v>
      </c>
    </row>
    <row r="170" customFormat="false" ht="15" hidden="false" customHeight="false" outlineLevel="0" collapsed="false">
      <c r="A170" s="12" t="s">
        <v>36</v>
      </c>
      <c r="B170" s="7" t="s">
        <v>37</v>
      </c>
      <c r="C170" s="12" t="s">
        <v>73</v>
      </c>
      <c r="D170" s="7" t="s">
        <v>32</v>
      </c>
      <c r="E170" s="7" t="s">
        <v>40</v>
      </c>
      <c r="F170" s="12" t="n">
        <f aca="false">IF(D170=E170,1,0)</f>
        <v>0</v>
      </c>
      <c r="G170" s="13" t="n">
        <v>-0.0022026431718061</v>
      </c>
      <c r="H170" s="14" t="n">
        <v>0.413266380382691</v>
      </c>
      <c r="I170" s="14" t="n">
        <v>0.205406516808702</v>
      </c>
      <c r="J170" s="14" t="n">
        <v>0.381327102808607</v>
      </c>
      <c r="K170" s="12" t="s">
        <v>65</v>
      </c>
      <c r="L170" s="15" t="n">
        <v>977</v>
      </c>
      <c r="M170" s="15" t="n">
        <v>11</v>
      </c>
    </row>
    <row r="171" customFormat="false" ht="15" hidden="false" customHeight="false" outlineLevel="0" collapsed="false">
      <c r="A171" s="12" t="s">
        <v>38</v>
      </c>
      <c r="B171" s="7" t="s">
        <v>39</v>
      </c>
      <c r="C171" s="12" t="s">
        <v>73</v>
      </c>
      <c r="D171" s="7" t="s">
        <v>31</v>
      </c>
      <c r="E171" s="7" t="s">
        <v>32</v>
      </c>
      <c r="F171" s="12" t="n">
        <f aca="false">IF(D171=E171,1,0)</f>
        <v>0</v>
      </c>
      <c r="G171" s="13" t="n">
        <v>-0.0425844346549192</v>
      </c>
      <c r="H171" s="14" t="n">
        <v>0.364357307739515</v>
      </c>
      <c r="I171" s="14" t="n">
        <v>0.185586357787335</v>
      </c>
      <c r="J171" s="14" t="n">
        <v>0.450056334473151</v>
      </c>
      <c r="K171" s="12" t="s">
        <v>65</v>
      </c>
      <c r="L171" s="15" t="n">
        <v>977</v>
      </c>
      <c r="M171" s="15" t="n">
        <v>11</v>
      </c>
    </row>
    <row r="172" customFormat="false" ht="15" hidden="false" customHeight="false" outlineLevel="0" collapsed="false">
      <c r="A172" s="12" t="s">
        <v>41</v>
      </c>
      <c r="B172" s="7" t="s">
        <v>42</v>
      </c>
      <c r="C172" s="12" t="s">
        <v>73</v>
      </c>
      <c r="D172" s="7" t="s">
        <v>31</v>
      </c>
      <c r="E172" s="7" t="s">
        <v>32</v>
      </c>
      <c r="F172" s="12" t="n">
        <f aca="false">IF(D172=E172,1,0)</f>
        <v>0</v>
      </c>
      <c r="G172" s="13" t="n">
        <v>-0.0520094562647753</v>
      </c>
      <c r="H172" s="14" t="n">
        <v>0.344313265439791</v>
      </c>
      <c r="I172" s="14" t="n">
        <v>0.247950722711549</v>
      </c>
      <c r="J172" s="14" t="n">
        <v>0.40773601184866</v>
      </c>
      <c r="K172" s="12" t="s">
        <v>65</v>
      </c>
      <c r="L172" s="15" t="n">
        <v>977</v>
      </c>
      <c r="M172" s="15" t="n">
        <v>11</v>
      </c>
    </row>
    <row r="173" customFormat="false" ht="15" hidden="false" customHeight="false" outlineLevel="0" collapsed="false">
      <c r="A173" s="12" t="s">
        <v>43</v>
      </c>
      <c r="B173" s="7" t="s">
        <v>44</v>
      </c>
      <c r="C173" s="12" t="s">
        <v>73</v>
      </c>
      <c r="D173" s="7" t="s">
        <v>32</v>
      </c>
      <c r="E173" s="7" t="s">
        <v>31</v>
      </c>
      <c r="F173" s="12" t="n">
        <f aca="false">IF(D173=E173,1,0)</f>
        <v>0</v>
      </c>
      <c r="G173" s="13" t="n">
        <v>0.015645371577575</v>
      </c>
      <c r="H173" s="14" t="n">
        <v>0.441842525899083</v>
      </c>
      <c r="I173" s="14" t="n">
        <v>0.199353193402749</v>
      </c>
      <c r="J173" s="14" t="n">
        <v>0.358804280698168</v>
      </c>
      <c r="K173" s="12" t="s">
        <v>65</v>
      </c>
      <c r="L173" s="15" t="n">
        <v>977</v>
      </c>
      <c r="M173" s="15" t="n">
        <v>11</v>
      </c>
    </row>
    <row r="174" customFormat="false" ht="15" hidden="false" customHeight="false" outlineLevel="0" collapsed="false">
      <c r="A174" s="12" t="s">
        <v>28</v>
      </c>
      <c r="B174" s="7" t="s">
        <v>29</v>
      </c>
      <c r="C174" s="12" t="s">
        <v>74</v>
      </c>
      <c r="D174" s="7" t="s">
        <v>32</v>
      </c>
      <c r="E174" s="7" t="s">
        <v>32</v>
      </c>
      <c r="F174" s="12" t="n">
        <f aca="false">IF(D174=E174,1,0)</f>
        <v>1</v>
      </c>
      <c r="G174" s="13" t="n">
        <v>-0.0265060240963855</v>
      </c>
      <c r="H174" s="14" t="n">
        <v>0.406140444080903</v>
      </c>
      <c r="I174" s="14" t="n">
        <v>0.222281819315844</v>
      </c>
      <c r="J174" s="14" t="n">
        <v>0.371577736603253</v>
      </c>
      <c r="K174" s="12" t="s">
        <v>65</v>
      </c>
      <c r="L174" s="15" t="n">
        <v>977</v>
      </c>
      <c r="M174" s="15" t="n">
        <v>11</v>
      </c>
    </row>
    <row r="175" customFormat="false" ht="15" hidden="false" customHeight="false" outlineLevel="0" collapsed="false">
      <c r="A175" s="12" t="s">
        <v>34</v>
      </c>
      <c r="B175" s="7" t="s">
        <v>35</v>
      </c>
      <c r="C175" s="12" t="s">
        <v>74</v>
      </c>
      <c r="D175" s="7" t="s">
        <v>31</v>
      </c>
      <c r="E175" s="7" t="s">
        <v>40</v>
      </c>
      <c r="F175" s="12" t="n">
        <f aca="false">IF(D175=E175,1,0)</f>
        <v>0</v>
      </c>
      <c r="G175" s="13" t="n">
        <v>0</v>
      </c>
      <c r="H175" s="14" t="n">
        <v>0.370407275839341</v>
      </c>
      <c r="I175" s="14" t="n">
        <v>0.179609053719375</v>
      </c>
      <c r="J175" s="14" t="n">
        <v>0.449983670441284</v>
      </c>
      <c r="K175" s="12" t="s">
        <v>65</v>
      </c>
      <c r="L175" s="15" t="n">
        <v>977</v>
      </c>
      <c r="M175" s="15" t="n">
        <v>11</v>
      </c>
    </row>
    <row r="176" customFormat="false" ht="15" hidden="false" customHeight="false" outlineLevel="0" collapsed="false">
      <c r="A176" s="12" t="s">
        <v>36</v>
      </c>
      <c r="B176" s="7" t="s">
        <v>37</v>
      </c>
      <c r="C176" s="12" t="s">
        <v>74</v>
      </c>
      <c r="D176" s="7" t="s">
        <v>31</v>
      </c>
      <c r="E176" s="7" t="s">
        <v>32</v>
      </c>
      <c r="F176" s="12" t="n">
        <f aca="false">IF(D176=E176,1,0)</f>
        <v>0</v>
      </c>
      <c r="G176" s="13" t="n">
        <v>-0.0110375275938189</v>
      </c>
      <c r="H176" s="14" t="n">
        <v>0.383715757238837</v>
      </c>
      <c r="I176" s="14" t="n">
        <v>0.200148055460711</v>
      </c>
      <c r="J176" s="14" t="n">
        <v>0.416136187300452</v>
      </c>
      <c r="K176" s="12" t="s">
        <v>65</v>
      </c>
      <c r="L176" s="15" t="n">
        <v>977</v>
      </c>
      <c r="M176" s="15" t="n">
        <v>11</v>
      </c>
    </row>
    <row r="177" customFormat="false" ht="15" hidden="false" customHeight="false" outlineLevel="0" collapsed="false">
      <c r="A177" s="12" t="s">
        <v>38</v>
      </c>
      <c r="B177" s="7" t="s">
        <v>39</v>
      </c>
      <c r="C177" s="12" t="s">
        <v>74</v>
      </c>
      <c r="D177" s="7" t="s">
        <v>31</v>
      </c>
      <c r="E177" s="7" t="s">
        <v>31</v>
      </c>
      <c r="F177" s="12" t="n">
        <f aca="false">IF(D177=E177,1,0)</f>
        <v>1</v>
      </c>
      <c r="G177" s="13" t="n">
        <v>0.0429447852760735</v>
      </c>
      <c r="H177" s="14" t="n">
        <v>0.384544881911908</v>
      </c>
      <c r="I177" s="14" t="n">
        <v>0.199099758007294</v>
      </c>
      <c r="J177" s="14" t="n">
        <v>0.416355360080798</v>
      </c>
      <c r="K177" s="12" t="s">
        <v>65</v>
      </c>
      <c r="L177" s="15" t="n">
        <v>977</v>
      </c>
      <c r="M177" s="15" t="n">
        <v>11</v>
      </c>
    </row>
    <row r="178" customFormat="false" ht="15" hidden="false" customHeight="false" outlineLevel="0" collapsed="false">
      <c r="A178" s="12" t="s">
        <v>41</v>
      </c>
      <c r="B178" s="7" t="s">
        <v>42</v>
      </c>
      <c r="C178" s="12" t="s">
        <v>74</v>
      </c>
      <c r="D178" s="7" t="s">
        <v>32</v>
      </c>
      <c r="E178" s="7" t="s">
        <v>32</v>
      </c>
      <c r="F178" s="12" t="n">
        <f aca="false">IF(D178=E178,1,0)</f>
        <v>1</v>
      </c>
      <c r="G178" s="13" t="n">
        <v>-0.0149625935162094</v>
      </c>
      <c r="H178" s="14" t="n">
        <v>0.431553280530248</v>
      </c>
      <c r="I178" s="14" t="n">
        <v>0.173816294682001</v>
      </c>
      <c r="J178" s="14" t="n">
        <v>0.394630424787751</v>
      </c>
      <c r="K178" s="12" t="s">
        <v>65</v>
      </c>
      <c r="L178" s="15" t="n">
        <v>977</v>
      </c>
      <c r="M178" s="15" t="n">
        <v>11</v>
      </c>
    </row>
    <row r="179" customFormat="false" ht="15" hidden="false" customHeight="false" outlineLevel="0" collapsed="false">
      <c r="A179" s="12" t="s">
        <v>43</v>
      </c>
      <c r="B179" s="7" t="s">
        <v>44</v>
      </c>
      <c r="C179" s="12" t="s">
        <v>74</v>
      </c>
      <c r="D179" s="7" t="s">
        <v>32</v>
      </c>
      <c r="E179" s="7" t="s">
        <v>32</v>
      </c>
      <c r="F179" s="12" t="n">
        <f aca="false">IF(D179=E179,1,0)</f>
        <v>1</v>
      </c>
      <c r="G179" s="13" t="n">
        <v>-0.0141206675224647</v>
      </c>
      <c r="H179" s="14" t="n">
        <v>0.419186004712989</v>
      </c>
      <c r="I179" s="14" t="n">
        <v>0.17126672144398</v>
      </c>
      <c r="J179" s="14" t="n">
        <v>0.409547273843031</v>
      </c>
      <c r="K179" s="12" t="s">
        <v>65</v>
      </c>
      <c r="L179" s="15" t="n">
        <v>977</v>
      </c>
      <c r="M179" s="15" t="n">
        <v>11</v>
      </c>
    </row>
    <row r="180" customFormat="false" ht="15" hidden="false" customHeight="false" outlineLevel="0" collapsed="false">
      <c r="A180" s="12" t="s">
        <v>28</v>
      </c>
      <c r="B180" s="7" t="s">
        <v>29</v>
      </c>
      <c r="C180" s="12" t="s">
        <v>75</v>
      </c>
      <c r="D180" s="7" t="s">
        <v>31</v>
      </c>
      <c r="E180" s="7" t="s">
        <v>32</v>
      </c>
      <c r="F180" s="12" t="n">
        <f aca="false">IF(D180=E180,1,0)</f>
        <v>0</v>
      </c>
      <c r="G180" s="13" t="n">
        <v>-0.051980198019802</v>
      </c>
      <c r="H180" s="14" t="n">
        <v>0.338435820926952</v>
      </c>
      <c r="I180" s="14" t="n">
        <v>0.219765430640554</v>
      </c>
      <c r="J180" s="14" t="n">
        <v>0.441798748432494</v>
      </c>
      <c r="K180" s="12" t="s">
        <v>65</v>
      </c>
      <c r="L180" s="15" t="n">
        <v>977</v>
      </c>
      <c r="M180" s="15" t="n">
        <v>11</v>
      </c>
    </row>
    <row r="181" customFormat="false" ht="15" hidden="false" customHeight="false" outlineLevel="0" collapsed="false">
      <c r="A181" s="12" t="s">
        <v>34</v>
      </c>
      <c r="B181" s="7" t="s">
        <v>35</v>
      </c>
      <c r="C181" s="12" t="s">
        <v>75</v>
      </c>
      <c r="D181" s="7" t="s">
        <v>31</v>
      </c>
      <c r="E181" s="7" t="s">
        <v>32</v>
      </c>
      <c r="F181" s="12" t="n">
        <f aca="false">IF(D181=E181,1,0)</f>
        <v>0</v>
      </c>
      <c r="G181" s="13" t="n">
        <v>-0.0140845070422535</v>
      </c>
      <c r="H181" s="14" t="n">
        <v>0.346018747761246</v>
      </c>
      <c r="I181" s="14" t="n">
        <v>0.206810349279233</v>
      </c>
      <c r="J181" s="14" t="n">
        <v>0.447170902959521</v>
      </c>
      <c r="K181" s="12" t="s">
        <v>65</v>
      </c>
      <c r="L181" s="15" t="n">
        <v>977</v>
      </c>
      <c r="M181" s="15" t="n">
        <v>11</v>
      </c>
    </row>
    <row r="182" customFormat="false" ht="15" hidden="false" customHeight="false" outlineLevel="0" collapsed="false">
      <c r="A182" s="12" t="s">
        <v>36</v>
      </c>
      <c r="B182" s="7" t="s">
        <v>37</v>
      </c>
      <c r="C182" s="12" t="s">
        <v>75</v>
      </c>
      <c r="D182" s="7" t="s">
        <v>31</v>
      </c>
      <c r="E182" s="7" t="s">
        <v>32</v>
      </c>
      <c r="F182" s="12" t="n">
        <f aca="false">IF(D182=E182,1,0)</f>
        <v>0</v>
      </c>
      <c r="G182" s="13" t="n">
        <v>-0.015625</v>
      </c>
      <c r="H182" s="14" t="n">
        <v>0.402065940854365</v>
      </c>
      <c r="I182" s="14" t="n">
        <v>0.194404302893867</v>
      </c>
      <c r="J182" s="14" t="n">
        <v>0.403529756251769</v>
      </c>
      <c r="K182" s="12" t="s">
        <v>65</v>
      </c>
      <c r="L182" s="15" t="n">
        <v>977</v>
      </c>
      <c r="M182" s="15" t="n">
        <v>11</v>
      </c>
    </row>
    <row r="183" customFormat="false" ht="15" hidden="false" customHeight="false" outlineLevel="0" collapsed="false">
      <c r="A183" s="12" t="s">
        <v>38</v>
      </c>
      <c r="B183" s="7" t="s">
        <v>39</v>
      </c>
      <c r="C183" s="12" t="s">
        <v>75</v>
      </c>
      <c r="D183" s="7" t="s">
        <v>31</v>
      </c>
      <c r="E183" s="7" t="s">
        <v>32</v>
      </c>
      <c r="F183" s="12" t="n">
        <f aca="false">IF(D183=E183,1,0)</f>
        <v>0</v>
      </c>
      <c r="G183" s="13" t="n">
        <v>-0.0720588235294117</v>
      </c>
      <c r="H183" s="14" t="n">
        <v>0.373643281476085</v>
      </c>
      <c r="I183" s="14" t="n">
        <v>0.206476806981291</v>
      </c>
      <c r="J183" s="14" t="n">
        <v>0.419879911542625</v>
      </c>
      <c r="K183" s="12" t="s">
        <v>65</v>
      </c>
      <c r="L183" s="15" t="n">
        <v>977</v>
      </c>
      <c r="M183" s="15" t="n">
        <v>11</v>
      </c>
    </row>
    <row r="184" customFormat="false" ht="15" hidden="false" customHeight="false" outlineLevel="0" collapsed="false">
      <c r="A184" s="12" t="s">
        <v>41</v>
      </c>
      <c r="B184" s="7" t="s">
        <v>42</v>
      </c>
      <c r="C184" s="12" t="s">
        <v>75</v>
      </c>
      <c r="D184" s="7" t="s">
        <v>31</v>
      </c>
      <c r="E184" s="7" t="s">
        <v>40</v>
      </c>
      <c r="F184" s="12" t="n">
        <f aca="false">IF(D184=E184,1,0)</f>
        <v>0</v>
      </c>
      <c r="G184" s="13" t="n">
        <v>-0.0025316455696202</v>
      </c>
      <c r="H184" s="14" t="n">
        <v>0.377294710736771</v>
      </c>
      <c r="I184" s="14" t="n">
        <v>0.222354860936609</v>
      </c>
      <c r="J184" s="14" t="n">
        <v>0.40035042832662</v>
      </c>
      <c r="K184" s="12" t="s">
        <v>65</v>
      </c>
      <c r="L184" s="15" t="n">
        <v>977</v>
      </c>
      <c r="M184" s="15" t="n">
        <v>11</v>
      </c>
    </row>
    <row r="185" customFormat="false" ht="15" hidden="false" customHeight="false" outlineLevel="0" collapsed="false">
      <c r="A185" s="12" t="s">
        <v>43</v>
      </c>
      <c r="B185" s="7" t="s">
        <v>44</v>
      </c>
      <c r="C185" s="12" t="s">
        <v>75</v>
      </c>
      <c r="D185" s="7" t="s">
        <v>31</v>
      </c>
      <c r="E185" s="7" t="s">
        <v>31</v>
      </c>
      <c r="F185" s="12" t="n">
        <f aca="false">IF(D185=E185,1,0)</f>
        <v>1</v>
      </c>
      <c r="G185" s="13" t="n">
        <v>0.0130208333333332</v>
      </c>
      <c r="H185" s="14" t="n">
        <v>0.348857292978669</v>
      </c>
      <c r="I185" s="14" t="n">
        <v>0.247442141735651</v>
      </c>
      <c r="J185" s="14" t="n">
        <v>0.40370056528568</v>
      </c>
      <c r="K185" s="12" t="s">
        <v>65</v>
      </c>
      <c r="L185" s="15" t="n">
        <v>977</v>
      </c>
      <c r="M185" s="15" t="n">
        <v>11</v>
      </c>
    </row>
    <row r="186" customFormat="false" ht="15" hidden="false" customHeight="false" outlineLevel="0" collapsed="false">
      <c r="A186" s="12" t="s">
        <v>28</v>
      </c>
      <c r="B186" s="7" t="s">
        <v>29</v>
      </c>
      <c r="C186" s="12" t="s">
        <v>76</v>
      </c>
      <c r="D186" s="7" t="s">
        <v>32</v>
      </c>
      <c r="E186" s="7" t="s">
        <v>40</v>
      </c>
      <c r="F186" s="12" t="n">
        <f aca="false">IF(D186=E186,1,0)</f>
        <v>0</v>
      </c>
      <c r="G186" s="13" t="n">
        <v>0</v>
      </c>
      <c r="H186" s="14" t="n">
        <v>0.388465131779977</v>
      </c>
      <c r="I186" s="14" t="n">
        <v>0.23544073140707</v>
      </c>
      <c r="J186" s="14" t="n">
        <v>0.376094136812953</v>
      </c>
      <c r="K186" s="12" t="s">
        <v>65</v>
      </c>
      <c r="L186" s="15" t="n">
        <v>977</v>
      </c>
      <c r="M186" s="15" t="n">
        <v>11</v>
      </c>
    </row>
    <row r="187" customFormat="false" ht="15" hidden="false" customHeight="false" outlineLevel="0" collapsed="false">
      <c r="A187" s="12" t="s">
        <v>34</v>
      </c>
      <c r="B187" s="7" t="s">
        <v>35</v>
      </c>
      <c r="C187" s="12" t="s">
        <v>76</v>
      </c>
      <c r="D187" s="7" t="s">
        <v>31</v>
      </c>
      <c r="E187" s="7" t="s">
        <v>32</v>
      </c>
      <c r="F187" s="12" t="n">
        <f aca="false">IF(D187=E187,1,0)</f>
        <v>0</v>
      </c>
      <c r="G187" s="13" t="n">
        <v>-0.0204081632653061</v>
      </c>
      <c r="H187" s="14" t="n">
        <v>0.355798797438096</v>
      </c>
      <c r="I187" s="14" t="n">
        <v>0.211453485856919</v>
      </c>
      <c r="J187" s="14" t="n">
        <v>0.432747716704985</v>
      </c>
      <c r="K187" s="12" t="s">
        <v>65</v>
      </c>
      <c r="L187" s="15" t="n">
        <v>977</v>
      </c>
      <c r="M187" s="15" t="n">
        <v>11</v>
      </c>
    </row>
    <row r="188" customFormat="false" ht="15" hidden="false" customHeight="false" outlineLevel="0" collapsed="false">
      <c r="A188" s="12" t="s">
        <v>36</v>
      </c>
      <c r="B188" s="7" t="s">
        <v>37</v>
      </c>
      <c r="C188" s="12" t="s">
        <v>76</v>
      </c>
      <c r="D188" s="7" t="s">
        <v>32</v>
      </c>
      <c r="E188" s="7" t="s">
        <v>32</v>
      </c>
      <c r="F188" s="12" t="n">
        <f aca="false">IF(D188=E188,1,0)</f>
        <v>1</v>
      </c>
      <c r="G188" s="13" t="n">
        <v>-0.0090702947845805</v>
      </c>
      <c r="H188" s="14" t="n">
        <v>0.414826203182779</v>
      </c>
      <c r="I188" s="14" t="n">
        <v>0.18624447257645</v>
      </c>
      <c r="J188" s="14" t="n">
        <v>0.398929324240771</v>
      </c>
      <c r="K188" s="12" t="s">
        <v>65</v>
      </c>
      <c r="L188" s="15" t="n">
        <v>977</v>
      </c>
      <c r="M188" s="15" t="n">
        <v>11</v>
      </c>
    </row>
    <row r="189" customFormat="false" ht="15" hidden="false" customHeight="false" outlineLevel="0" collapsed="false">
      <c r="A189" s="12" t="s">
        <v>38</v>
      </c>
      <c r="B189" s="7" t="s">
        <v>39</v>
      </c>
      <c r="C189" s="12" t="s">
        <v>76</v>
      </c>
      <c r="D189" s="7" t="s">
        <v>31</v>
      </c>
      <c r="E189" s="7" t="s">
        <v>31</v>
      </c>
      <c r="F189" s="12" t="n">
        <f aca="false">IF(D189=E189,1,0)</f>
        <v>1</v>
      </c>
      <c r="G189" s="13" t="n">
        <v>0.0237717908082408</v>
      </c>
      <c r="H189" s="14" t="n">
        <v>0.304775663488901</v>
      </c>
      <c r="I189" s="14" t="n">
        <v>0.191309112493812</v>
      </c>
      <c r="J189" s="14" t="n">
        <v>0.503915224017287</v>
      </c>
      <c r="K189" s="12" t="s">
        <v>65</v>
      </c>
      <c r="L189" s="15" t="n">
        <v>977</v>
      </c>
      <c r="M189" s="15" t="n">
        <v>11</v>
      </c>
    </row>
    <row r="190" customFormat="false" ht="15" hidden="false" customHeight="false" outlineLevel="0" collapsed="false">
      <c r="A190" s="12" t="s">
        <v>41</v>
      </c>
      <c r="B190" s="7" t="s">
        <v>42</v>
      </c>
      <c r="C190" s="12" t="s">
        <v>76</v>
      </c>
      <c r="D190" s="7" t="s">
        <v>31</v>
      </c>
      <c r="E190" s="7" t="s">
        <v>31</v>
      </c>
      <c r="F190" s="12" t="n">
        <f aca="false">IF(D190=E190,1,0)</f>
        <v>1</v>
      </c>
      <c r="G190" s="13" t="n">
        <v>0.0786802030456852</v>
      </c>
      <c r="H190" s="14" t="n">
        <v>0.338749407910028</v>
      </c>
      <c r="I190" s="14" t="n">
        <v>0.23434822981426</v>
      </c>
      <c r="J190" s="14" t="n">
        <v>0.426902362275712</v>
      </c>
      <c r="K190" s="12" t="s">
        <v>65</v>
      </c>
      <c r="L190" s="15" t="n">
        <v>977</v>
      </c>
      <c r="M190" s="15" t="n">
        <v>11</v>
      </c>
    </row>
    <row r="191" customFormat="false" ht="15" hidden="false" customHeight="false" outlineLevel="0" collapsed="false">
      <c r="A191" s="12" t="s">
        <v>43</v>
      </c>
      <c r="B191" s="7" t="s">
        <v>44</v>
      </c>
      <c r="C191" s="12" t="s">
        <v>76</v>
      </c>
      <c r="D191" s="7" t="s">
        <v>31</v>
      </c>
      <c r="E191" s="7" t="s">
        <v>40</v>
      </c>
      <c r="F191" s="12" t="n">
        <f aca="false">IF(D191=E191,1,0)</f>
        <v>0</v>
      </c>
      <c r="G191" s="13" t="n">
        <v>0.0012853470437019</v>
      </c>
      <c r="H191" s="14" t="n">
        <v>0.354600703113804</v>
      </c>
      <c r="I191" s="14" t="n">
        <v>0.201051208663461</v>
      </c>
      <c r="J191" s="14" t="n">
        <v>0.444348088222735</v>
      </c>
      <c r="K191" s="12" t="s">
        <v>65</v>
      </c>
      <c r="L191" s="15" t="n">
        <v>977</v>
      </c>
      <c r="M191" s="15" t="n">
        <v>11</v>
      </c>
    </row>
    <row r="192" customFormat="false" ht="15" hidden="false" customHeight="false" outlineLevel="0" collapsed="false">
      <c r="A192" s="12" t="s">
        <v>28</v>
      </c>
      <c r="B192" s="7" t="s">
        <v>29</v>
      </c>
      <c r="C192" s="12" t="s">
        <v>77</v>
      </c>
      <c r="D192" s="7" t="s">
        <v>31</v>
      </c>
      <c r="E192" s="7" t="s">
        <v>31</v>
      </c>
      <c r="F192" s="12" t="n">
        <f aca="false">IF(D192=E192,1,0)</f>
        <v>1</v>
      </c>
      <c r="G192" s="13" t="n">
        <v>0.0600522193211487</v>
      </c>
      <c r="H192" s="14" t="n">
        <v>0.344936633641259</v>
      </c>
      <c r="I192" s="14" t="n">
        <v>0.231602917663683</v>
      </c>
      <c r="J192" s="14" t="n">
        <v>0.423460448695058</v>
      </c>
      <c r="K192" s="12" t="s">
        <v>65</v>
      </c>
      <c r="L192" s="15" t="n">
        <v>977</v>
      </c>
      <c r="M192" s="15" t="n">
        <v>11</v>
      </c>
    </row>
    <row r="193" customFormat="false" ht="15" hidden="false" customHeight="false" outlineLevel="0" collapsed="false">
      <c r="A193" s="12" t="s">
        <v>34</v>
      </c>
      <c r="B193" s="7" t="s">
        <v>35</v>
      </c>
      <c r="C193" s="12" t="s">
        <v>77</v>
      </c>
      <c r="D193" s="7" t="s">
        <v>31</v>
      </c>
      <c r="E193" s="7" t="s">
        <v>31</v>
      </c>
      <c r="F193" s="12" t="n">
        <f aca="false">IF(D193=E193,1,0)</f>
        <v>1</v>
      </c>
      <c r="G193" s="13" t="n">
        <v>0.03125</v>
      </c>
      <c r="H193" s="14" t="n">
        <v>0.368047382122084</v>
      </c>
      <c r="I193" s="14" t="n">
        <v>0.237638570430887</v>
      </c>
      <c r="J193" s="14" t="n">
        <v>0.394314047447029</v>
      </c>
      <c r="K193" s="12" t="s">
        <v>65</v>
      </c>
      <c r="L193" s="15" t="n">
        <v>977</v>
      </c>
      <c r="M193" s="15" t="n">
        <v>11</v>
      </c>
    </row>
    <row r="194" customFormat="false" ht="15" hidden="false" customHeight="false" outlineLevel="0" collapsed="false">
      <c r="A194" s="12" t="s">
        <v>36</v>
      </c>
      <c r="B194" s="7" t="s">
        <v>37</v>
      </c>
      <c r="C194" s="12" t="s">
        <v>77</v>
      </c>
      <c r="D194" s="7" t="s">
        <v>32</v>
      </c>
      <c r="E194" s="7" t="s">
        <v>31</v>
      </c>
      <c r="F194" s="12" t="n">
        <f aca="false">IF(D194=E194,1,0)</f>
        <v>0</v>
      </c>
      <c r="G194" s="13" t="n">
        <v>0.0205949656750572</v>
      </c>
      <c r="H194" s="14" t="n">
        <v>0.398942349853327</v>
      </c>
      <c r="I194" s="14" t="n">
        <v>0.208416078291898</v>
      </c>
      <c r="J194" s="14" t="n">
        <v>0.392641571854775</v>
      </c>
      <c r="K194" s="12" t="s">
        <v>65</v>
      </c>
      <c r="L194" s="15" t="n">
        <v>977</v>
      </c>
      <c r="M194" s="15" t="n">
        <v>11</v>
      </c>
    </row>
    <row r="195" customFormat="false" ht="15" hidden="false" customHeight="false" outlineLevel="0" collapsed="false">
      <c r="A195" s="12" t="s">
        <v>38</v>
      </c>
      <c r="B195" s="7" t="s">
        <v>39</v>
      </c>
      <c r="C195" s="12" t="s">
        <v>77</v>
      </c>
      <c r="D195" s="7" t="s">
        <v>31</v>
      </c>
      <c r="E195" s="7" t="s">
        <v>31</v>
      </c>
      <c r="F195" s="12" t="n">
        <f aca="false">IF(D195=E195,1,0)</f>
        <v>1</v>
      </c>
      <c r="G195" s="13" t="n">
        <v>0.0990712074303405</v>
      </c>
      <c r="H195" s="14" t="n">
        <v>0.356398306300688</v>
      </c>
      <c r="I195" s="14" t="n">
        <v>0.215146036911437</v>
      </c>
      <c r="J195" s="14" t="n">
        <v>0.428455656787875</v>
      </c>
      <c r="K195" s="12" t="s">
        <v>65</v>
      </c>
      <c r="L195" s="15" t="n">
        <v>977</v>
      </c>
      <c r="M195" s="15" t="n">
        <v>11</v>
      </c>
    </row>
    <row r="196" customFormat="false" ht="15" hidden="false" customHeight="false" outlineLevel="0" collapsed="false">
      <c r="A196" s="12" t="s">
        <v>41</v>
      </c>
      <c r="B196" s="7" t="s">
        <v>42</v>
      </c>
      <c r="C196" s="12" t="s">
        <v>77</v>
      </c>
      <c r="D196" s="7" t="s">
        <v>31</v>
      </c>
      <c r="E196" s="7" t="s">
        <v>40</v>
      </c>
      <c r="F196" s="12" t="n">
        <f aca="false">IF(D196=E196,1,0)</f>
        <v>0</v>
      </c>
      <c r="G196" s="13" t="n">
        <v>-0.0023529411764705</v>
      </c>
      <c r="H196" s="14" t="n">
        <v>0.37987957670479</v>
      </c>
      <c r="I196" s="14" t="n">
        <v>0.183256424331123</v>
      </c>
      <c r="J196" s="14" t="n">
        <v>0.436863998964086</v>
      </c>
      <c r="K196" s="12" t="s">
        <v>65</v>
      </c>
      <c r="L196" s="15" t="n">
        <v>977</v>
      </c>
      <c r="M196" s="15" t="n">
        <v>11</v>
      </c>
    </row>
    <row r="197" customFormat="false" ht="15" hidden="false" customHeight="false" outlineLevel="0" collapsed="false">
      <c r="A197" s="12" t="s">
        <v>43</v>
      </c>
      <c r="B197" s="7" t="s">
        <v>44</v>
      </c>
      <c r="C197" s="12" t="s">
        <v>77</v>
      </c>
      <c r="D197" s="7" t="s">
        <v>31</v>
      </c>
      <c r="E197" s="7" t="s">
        <v>31</v>
      </c>
      <c r="F197" s="12" t="n">
        <f aca="false">IF(D197=E197,1,0)</f>
        <v>1</v>
      </c>
      <c r="G197" s="13" t="n">
        <v>0.0102695763799742</v>
      </c>
      <c r="H197" s="14" t="n">
        <v>0.363378492477586</v>
      </c>
      <c r="I197" s="14" t="n">
        <v>0.228145616661395</v>
      </c>
      <c r="J197" s="14" t="n">
        <v>0.408475890861019</v>
      </c>
      <c r="K197" s="12" t="s">
        <v>65</v>
      </c>
      <c r="L197" s="15" t="n">
        <v>977</v>
      </c>
      <c r="M197" s="15" t="n">
        <v>11</v>
      </c>
    </row>
    <row r="198" customFormat="false" ht="15" hidden="false" customHeight="false" outlineLevel="0" collapsed="false">
      <c r="A198" s="12" t="s">
        <v>28</v>
      </c>
      <c r="B198" s="7" t="s">
        <v>29</v>
      </c>
      <c r="C198" s="12" t="s">
        <v>78</v>
      </c>
      <c r="D198" s="7" t="s">
        <v>31</v>
      </c>
      <c r="E198" s="7" t="s">
        <v>31</v>
      </c>
      <c r="F198" s="12" t="n">
        <f aca="false">IF(D198=E198,1,0)</f>
        <v>1</v>
      </c>
      <c r="G198" s="13" t="n">
        <v>0.0320197044334975</v>
      </c>
      <c r="H198" s="14" t="n">
        <v>0.398994700017221</v>
      </c>
      <c r="I198" s="14" t="n">
        <v>0.180877515158663</v>
      </c>
      <c r="J198" s="14" t="n">
        <v>0.420127784824116</v>
      </c>
      <c r="K198" s="12" t="s">
        <v>65</v>
      </c>
      <c r="L198" s="15" t="n">
        <v>977</v>
      </c>
      <c r="M198" s="15" t="n">
        <v>11</v>
      </c>
    </row>
    <row r="199" customFormat="false" ht="15" hidden="false" customHeight="false" outlineLevel="0" collapsed="false">
      <c r="A199" s="12" t="s">
        <v>34</v>
      </c>
      <c r="B199" s="7" t="s">
        <v>35</v>
      </c>
      <c r="C199" s="12" t="s">
        <v>78</v>
      </c>
      <c r="D199" s="7" t="s">
        <v>31</v>
      </c>
      <c r="E199" s="7" t="s">
        <v>31</v>
      </c>
      <c r="F199" s="12" t="n">
        <f aca="false">IF(D199=E199,1,0)</f>
        <v>1</v>
      </c>
      <c r="G199" s="13" t="n">
        <v>0.0101010101010101</v>
      </c>
      <c r="H199" s="14" t="n">
        <v>0.374167382475295</v>
      </c>
      <c r="I199" s="14" t="n">
        <v>0.215654570227337</v>
      </c>
      <c r="J199" s="14" t="n">
        <v>0.410178047297367</v>
      </c>
      <c r="K199" s="12" t="s">
        <v>65</v>
      </c>
      <c r="L199" s="15" t="n">
        <v>977</v>
      </c>
      <c r="M199" s="15" t="n">
        <v>11</v>
      </c>
    </row>
    <row r="200" customFormat="false" ht="15" hidden="false" customHeight="false" outlineLevel="0" collapsed="false">
      <c r="A200" s="12" t="s">
        <v>36</v>
      </c>
      <c r="B200" s="7" t="s">
        <v>37</v>
      </c>
      <c r="C200" s="12" t="s">
        <v>78</v>
      </c>
      <c r="D200" s="7" t="s">
        <v>31</v>
      </c>
      <c r="E200" s="7" t="s">
        <v>31</v>
      </c>
      <c r="F200" s="12" t="n">
        <f aca="false">IF(D200=E200,1,0)</f>
        <v>1</v>
      </c>
      <c r="G200" s="13" t="n">
        <v>0.0112107623318384</v>
      </c>
      <c r="H200" s="14" t="n">
        <v>0.380218571152464</v>
      </c>
      <c r="I200" s="14" t="n">
        <v>0.18864419727726</v>
      </c>
      <c r="J200" s="14" t="n">
        <v>0.431137231570276</v>
      </c>
      <c r="K200" s="12" t="s">
        <v>65</v>
      </c>
      <c r="L200" s="15" t="n">
        <v>977</v>
      </c>
      <c r="M200" s="15" t="n">
        <v>11</v>
      </c>
    </row>
    <row r="201" customFormat="false" ht="15" hidden="false" customHeight="false" outlineLevel="0" collapsed="false">
      <c r="A201" s="12" t="s">
        <v>38</v>
      </c>
      <c r="B201" s="7" t="s">
        <v>39</v>
      </c>
      <c r="C201" s="12" t="s">
        <v>78</v>
      </c>
      <c r="D201" s="7" t="s">
        <v>31</v>
      </c>
      <c r="E201" s="7" t="s">
        <v>31</v>
      </c>
      <c r="F201" s="12" t="n">
        <f aca="false">IF(D201=E201,1,0)</f>
        <v>1</v>
      </c>
      <c r="G201" s="13" t="n">
        <v>0.0873239436619719</v>
      </c>
      <c r="H201" s="14" t="n">
        <v>0.36410733138376</v>
      </c>
      <c r="I201" s="14" t="n">
        <v>0.209348283869061</v>
      </c>
      <c r="J201" s="14" t="n">
        <v>0.426544384747178</v>
      </c>
      <c r="K201" s="12" t="s">
        <v>65</v>
      </c>
      <c r="L201" s="15" t="n">
        <v>977</v>
      </c>
      <c r="M201" s="15" t="n">
        <v>11</v>
      </c>
    </row>
    <row r="202" customFormat="false" ht="15" hidden="false" customHeight="false" outlineLevel="0" collapsed="false">
      <c r="A202" s="12" t="s">
        <v>41</v>
      </c>
      <c r="B202" s="7" t="s">
        <v>42</v>
      </c>
      <c r="C202" s="12" t="s">
        <v>78</v>
      </c>
      <c r="D202" s="7" t="s">
        <v>32</v>
      </c>
      <c r="E202" s="7" t="s">
        <v>31</v>
      </c>
      <c r="F202" s="12" t="n">
        <f aca="false">IF(D202=E202,1,0)</f>
        <v>0</v>
      </c>
      <c r="G202" s="13" t="n">
        <v>0.0330188679245282</v>
      </c>
      <c r="H202" s="14" t="n">
        <v>0.393128742528369</v>
      </c>
      <c r="I202" s="14" t="n">
        <v>0.217624889431886</v>
      </c>
      <c r="J202" s="14" t="n">
        <v>0.389246368039745</v>
      </c>
      <c r="K202" s="12" t="s">
        <v>65</v>
      </c>
      <c r="L202" s="15" t="n">
        <v>977</v>
      </c>
      <c r="M202" s="15" t="n">
        <v>11</v>
      </c>
    </row>
    <row r="203" customFormat="false" ht="15" hidden="false" customHeight="false" outlineLevel="0" collapsed="false">
      <c r="A203" s="12" t="s">
        <v>43</v>
      </c>
      <c r="B203" s="7" t="s">
        <v>44</v>
      </c>
      <c r="C203" s="12" t="s">
        <v>78</v>
      </c>
      <c r="D203" s="7" t="s">
        <v>31</v>
      </c>
      <c r="E203" s="7" t="s">
        <v>31</v>
      </c>
      <c r="F203" s="12" t="n">
        <f aca="false">IF(D203=E203,1,0)</f>
        <v>1</v>
      </c>
      <c r="G203" s="13" t="n">
        <v>0.0127064803049554</v>
      </c>
      <c r="H203" s="14" t="n">
        <v>0.39214711680993</v>
      </c>
      <c r="I203" s="14" t="n">
        <v>0.204632367220059</v>
      </c>
      <c r="J203" s="14" t="n">
        <v>0.403220515970011</v>
      </c>
      <c r="K203" s="12" t="s">
        <v>65</v>
      </c>
      <c r="L203" s="15" t="n">
        <v>977</v>
      </c>
      <c r="M203" s="15" t="n">
        <v>11</v>
      </c>
    </row>
    <row r="204" customFormat="false" ht="15" hidden="false" customHeight="false" outlineLevel="0" collapsed="false">
      <c r="A204" s="12" t="s">
        <v>28</v>
      </c>
      <c r="B204" s="7" t="s">
        <v>29</v>
      </c>
      <c r="C204" s="12" t="s">
        <v>79</v>
      </c>
      <c r="D204" s="7" t="s">
        <v>31</v>
      </c>
      <c r="E204" s="7" t="s">
        <v>31</v>
      </c>
      <c r="F204" s="12" t="n">
        <f aca="false">IF(D204=E204,1,0)</f>
        <v>1</v>
      </c>
      <c r="G204" s="13" t="n">
        <v>0.0930787589498807</v>
      </c>
      <c r="H204" s="14" t="n">
        <v>0.391616231325748</v>
      </c>
      <c r="I204" s="14" t="n">
        <v>0.193494066364223</v>
      </c>
      <c r="J204" s="14" t="n">
        <v>0.414889702310029</v>
      </c>
      <c r="K204" s="12" t="s">
        <v>65</v>
      </c>
      <c r="L204" s="15" t="n">
        <v>977</v>
      </c>
      <c r="M204" s="15" t="n">
        <v>11</v>
      </c>
    </row>
    <row r="205" customFormat="false" ht="15" hidden="false" customHeight="false" outlineLevel="0" collapsed="false">
      <c r="A205" s="12" t="s">
        <v>34</v>
      </c>
      <c r="B205" s="7" t="s">
        <v>35</v>
      </c>
      <c r="C205" s="12" t="s">
        <v>79</v>
      </c>
      <c r="D205" s="7" t="s">
        <v>32</v>
      </c>
      <c r="E205" s="7" t="s">
        <v>31</v>
      </c>
      <c r="F205" s="12" t="n">
        <f aca="false">IF(D205=E205,1,0)</f>
        <v>0</v>
      </c>
      <c r="G205" s="13" t="n">
        <v>0.044</v>
      </c>
      <c r="H205" s="14" t="n">
        <v>0.400195636079521</v>
      </c>
      <c r="I205" s="14" t="n">
        <v>0.229453714925198</v>
      </c>
      <c r="J205" s="14" t="n">
        <v>0.370350648995282</v>
      </c>
      <c r="K205" s="12" t="s">
        <v>65</v>
      </c>
      <c r="L205" s="15" t="n">
        <v>977</v>
      </c>
      <c r="M205" s="15" t="n">
        <v>11</v>
      </c>
    </row>
    <row r="206" customFormat="false" ht="15" hidden="false" customHeight="false" outlineLevel="0" collapsed="false">
      <c r="A206" s="12" t="s">
        <v>36</v>
      </c>
      <c r="B206" s="7" t="s">
        <v>37</v>
      </c>
      <c r="C206" s="12" t="s">
        <v>79</v>
      </c>
      <c r="D206" s="7" t="s">
        <v>32</v>
      </c>
      <c r="E206" s="7" t="s">
        <v>31</v>
      </c>
      <c r="F206" s="12" t="n">
        <f aca="false">IF(D206=E206,1,0)</f>
        <v>0</v>
      </c>
      <c r="G206" s="13" t="n">
        <v>0.024390243902439</v>
      </c>
      <c r="H206" s="14" t="n">
        <v>0.413510756986768</v>
      </c>
      <c r="I206" s="14" t="n">
        <v>0.193357794950066</v>
      </c>
      <c r="J206" s="14" t="n">
        <v>0.393131448063166</v>
      </c>
      <c r="K206" s="12" t="s">
        <v>65</v>
      </c>
      <c r="L206" s="15" t="n">
        <v>977</v>
      </c>
      <c r="M206" s="15" t="n">
        <v>11</v>
      </c>
    </row>
    <row r="207" customFormat="false" ht="15" hidden="false" customHeight="false" outlineLevel="0" collapsed="false">
      <c r="A207" s="12" t="s">
        <v>38</v>
      </c>
      <c r="B207" s="7" t="s">
        <v>39</v>
      </c>
      <c r="C207" s="12" t="s">
        <v>79</v>
      </c>
      <c r="D207" s="7" t="s">
        <v>31</v>
      </c>
      <c r="E207" s="7" t="s">
        <v>31</v>
      </c>
      <c r="F207" s="12" t="n">
        <f aca="false">IF(D207=E207,1,0)</f>
        <v>1</v>
      </c>
      <c r="G207" s="13" t="n">
        <v>0.0997409326424869</v>
      </c>
      <c r="H207" s="14" t="n">
        <v>0.380439894323879</v>
      </c>
      <c r="I207" s="14" t="n">
        <v>0.210466949078387</v>
      </c>
      <c r="J207" s="14" t="n">
        <v>0.409093156597734</v>
      </c>
      <c r="K207" s="12" t="s">
        <v>65</v>
      </c>
      <c r="L207" s="15" t="n">
        <v>977</v>
      </c>
      <c r="M207" s="15" t="n">
        <v>11</v>
      </c>
    </row>
    <row r="208" customFormat="false" ht="15" hidden="false" customHeight="false" outlineLevel="0" collapsed="false">
      <c r="A208" s="12" t="s">
        <v>41</v>
      </c>
      <c r="B208" s="7" t="s">
        <v>42</v>
      </c>
      <c r="C208" s="12" t="s">
        <v>79</v>
      </c>
      <c r="D208" s="7" t="s">
        <v>31</v>
      </c>
      <c r="E208" s="7" t="s">
        <v>32</v>
      </c>
      <c r="F208" s="12" t="n">
        <f aca="false">IF(D208=E208,1,0)</f>
        <v>0</v>
      </c>
      <c r="G208" s="13" t="n">
        <v>-0.0228310502283105</v>
      </c>
      <c r="H208" s="14" t="n">
        <v>0.380867081700333</v>
      </c>
      <c r="I208" s="14" t="n">
        <v>0.181762412968211</v>
      </c>
      <c r="J208" s="14" t="n">
        <v>0.437370505331456</v>
      </c>
      <c r="K208" s="12" t="s">
        <v>65</v>
      </c>
      <c r="L208" s="15" t="n">
        <v>977</v>
      </c>
      <c r="M208" s="15" t="n">
        <v>11</v>
      </c>
    </row>
    <row r="209" customFormat="false" ht="15" hidden="false" customHeight="false" outlineLevel="0" collapsed="false">
      <c r="A209" s="12" t="s">
        <v>43</v>
      </c>
      <c r="B209" s="7" t="s">
        <v>44</v>
      </c>
      <c r="C209" s="12" t="s">
        <v>79</v>
      </c>
      <c r="D209" s="7" t="s">
        <v>31</v>
      </c>
      <c r="E209" s="7" t="s">
        <v>31</v>
      </c>
      <c r="F209" s="12" t="n">
        <f aca="false">IF(D209=E209,1,0)</f>
        <v>1</v>
      </c>
      <c r="G209" s="13" t="n">
        <v>0.0225846925972397</v>
      </c>
      <c r="H209" s="14" t="n">
        <v>0.38283177302908</v>
      </c>
      <c r="I209" s="14" t="n">
        <v>0.212502042364626</v>
      </c>
      <c r="J209" s="14" t="n">
        <v>0.404666184606294</v>
      </c>
      <c r="K209" s="12" t="s">
        <v>65</v>
      </c>
      <c r="L209" s="15" t="n">
        <v>977</v>
      </c>
      <c r="M209" s="15" t="n">
        <v>11</v>
      </c>
    </row>
    <row r="210" customFormat="false" ht="15" hidden="false" customHeight="false" outlineLevel="0" collapsed="false">
      <c r="A210" s="12" t="s">
        <v>28</v>
      </c>
      <c r="B210" s="7" t="s">
        <v>29</v>
      </c>
      <c r="C210" s="12" t="s">
        <v>80</v>
      </c>
      <c r="D210" s="7" t="s">
        <v>31</v>
      </c>
      <c r="E210" s="7" t="s">
        <v>31</v>
      </c>
      <c r="F210" s="12" t="n">
        <f aca="false">IF(D210=E210,1,0)</f>
        <v>1</v>
      </c>
      <c r="G210" s="13" t="n">
        <v>0.0262008733624454</v>
      </c>
      <c r="H210" s="14" t="n">
        <v>0.31964598241468</v>
      </c>
      <c r="I210" s="14" t="n">
        <v>0.234975178647893</v>
      </c>
      <c r="J210" s="14" t="n">
        <v>0.445378838937427</v>
      </c>
      <c r="K210" s="12" t="s">
        <v>65</v>
      </c>
      <c r="L210" s="15" t="n">
        <v>977</v>
      </c>
      <c r="M210" s="15" t="n">
        <v>11</v>
      </c>
    </row>
    <row r="211" customFormat="false" ht="15" hidden="false" customHeight="false" outlineLevel="0" collapsed="false">
      <c r="A211" s="12" t="s">
        <v>34</v>
      </c>
      <c r="B211" s="7" t="s">
        <v>35</v>
      </c>
      <c r="C211" s="12" t="s">
        <v>80</v>
      </c>
      <c r="D211" s="7" t="s">
        <v>31</v>
      </c>
      <c r="E211" s="7" t="s">
        <v>32</v>
      </c>
      <c r="F211" s="12" t="n">
        <f aca="false">IF(D211=E211,1,0)</f>
        <v>0</v>
      </c>
      <c r="G211" s="13" t="n">
        <v>-0.007662835249042</v>
      </c>
      <c r="H211" s="14" t="n">
        <v>0.334335512434159</v>
      </c>
      <c r="I211" s="14" t="n">
        <v>0.19954416102778</v>
      </c>
      <c r="J211" s="14" t="n">
        <v>0.466120326538061</v>
      </c>
      <c r="K211" s="12" t="s">
        <v>65</v>
      </c>
      <c r="L211" s="15" t="n">
        <v>977</v>
      </c>
      <c r="M211" s="15" t="n">
        <v>11</v>
      </c>
    </row>
    <row r="212" customFormat="false" ht="15" hidden="false" customHeight="false" outlineLevel="0" collapsed="false">
      <c r="A212" s="12" t="s">
        <v>36</v>
      </c>
      <c r="B212" s="7" t="s">
        <v>37</v>
      </c>
      <c r="C212" s="12" t="s">
        <v>80</v>
      </c>
      <c r="D212" s="7" t="s">
        <v>31</v>
      </c>
      <c r="E212" s="7" t="s">
        <v>32</v>
      </c>
      <c r="F212" s="12" t="n">
        <f aca="false">IF(D212=E212,1,0)</f>
        <v>0</v>
      </c>
      <c r="G212" s="13" t="n">
        <v>-0.0173160173160172</v>
      </c>
      <c r="H212" s="14" t="n">
        <v>0.359137779777578</v>
      </c>
      <c r="I212" s="14" t="n">
        <v>0.241104381120966</v>
      </c>
      <c r="J212" s="14" t="n">
        <v>0.399757839101456</v>
      </c>
      <c r="K212" s="12" t="s">
        <v>65</v>
      </c>
      <c r="L212" s="15" t="n">
        <v>977</v>
      </c>
      <c r="M212" s="15" t="n">
        <v>11</v>
      </c>
    </row>
    <row r="213" customFormat="false" ht="15" hidden="false" customHeight="false" outlineLevel="0" collapsed="false">
      <c r="A213" s="12" t="s">
        <v>41</v>
      </c>
      <c r="B213" s="7" t="s">
        <v>42</v>
      </c>
      <c r="C213" s="12" t="s">
        <v>80</v>
      </c>
      <c r="D213" s="7" t="s">
        <v>31</v>
      </c>
      <c r="E213" s="7" t="s">
        <v>32</v>
      </c>
      <c r="F213" s="12" t="n">
        <f aca="false">IF(D213=E213,1,0)</f>
        <v>0</v>
      </c>
      <c r="G213" s="13" t="n">
        <v>-0.0116822429906542</v>
      </c>
      <c r="H213" s="14" t="n">
        <v>0.370477164664978</v>
      </c>
      <c r="I213" s="14" t="n">
        <v>0.215039054327565</v>
      </c>
      <c r="J213" s="14" t="n">
        <v>0.414483781007457</v>
      </c>
      <c r="K213" s="12" t="s">
        <v>65</v>
      </c>
      <c r="L213" s="15" t="n">
        <v>977</v>
      </c>
      <c r="M213" s="15" t="n">
        <v>11</v>
      </c>
    </row>
    <row r="214" customFormat="false" ht="15" hidden="false" customHeight="false" outlineLevel="0" collapsed="false">
      <c r="A214" s="12" t="s">
        <v>43</v>
      </c>
      <c r="B214" s="7" t="s">
        <v>44</v>
      </c>
      <c r="C214" s="12" t="s">
        <v>80</v>
      </c>
      <c r="D214" s="7" t="s">
        <v>31</v>
      </c>
      <c r="E214" s="7" t="s">
        <v>31</v>
      </c>
      <c r="F214" s="12" t="n">
        <f aca="false">IF(D214=E214,1,0)</f>
        <v>1</v>
      </c>
      <c r="G214" s="13" t="n">
        <v>0.0196319018404906</v>
      </c>
      <c r="H214" s="14" t="n">
        <v>0.3755762837515</v>
      </c>
      <c r="I214" s="14" t="n">
        <v>0.197245385205222</v>
      </c>
      <c r="J214" s="14" t="n">
        <v>0.427178331043278</v>
      </c>
      <c r="K214" s="12" t="s">
        <v>65</v>
      </c>
      <c r="L214" s="15" t="n">
        <v>977</v>
      </c>
      <c r="M214" s="15" t="n">
        <v>11</v>
      </c>
    </row>
    <row r="215" customFormat="false" ht="15" hidden="false" customHeight="false" outlineLevel="0" collapsed="false">
      <c r="A215" s="12" t="s">
        <v>28</v>
      </c>
      <c r="B215" s="7" t="s">
        <v>29</v>
      </c>
      <c r="C215" s="12" t="s">
        <v>81</v>
      </c>
      <c r="D215" s="7" t="s">
        <v>31</v>
      </c>
      <c r="E215" s="7" t="s">
        <v>31</v>
      </c>
      <c r="F215" s="12" t="n">
        <f aca="false">IF(D215=E215,1,0)</f>
        <v>1</v>
      </c>
      <c r="G215" s="13" t="n">
        <v>0.0723404255319148</v>
      </c>
      <c r="H215" s="14" t="n">
        <v>0.312454993698352</v>
      </c>
      <c r="I215" s="14" t="n">
        <v>0.201615454894705</v>
      </c>
      <c r="J215" s="14" t="n">
        <v>0.485929551406943</v>
      </c>
      <c r="K215" s="12" t="s">
        <v>65</v>
      </c>
      <c r="L215" s="15" t="n">
        <v>977</v>
      </c>
      <c r="M215" s="15" t="n">
        <v>11</v>
      </c>
    </row>
    <row r="216" customFormat="false" ht="15" hidden="false" customHeight="false" outlineLevel="0" collapsed="false">
      <c r="A216" s="12" t="s">
        <v>34</v>
      </c>
      <c r="B216" s="7" t="s">
        <v>35</v>
      </c>
      <c r="C216" s="12" t="s">
        <v>81</v>
      </c>
      <c r="D216" s="7" t="s">
        <v>31</v>
      </c>
      <c r="E216" s="7" t="s">
        <v>31</v>
      </c>
      <c r="F216" s="12" t="n">
        <f aca="false">IF(D216=E216,1,0)</f>
        <v>1</v>
      </c>
      <c r="G216" s="13" t="n">
        <v>0.0193050193050192</v>
      </c>
      <c r="H216" s="14" t="n">
        <v>0.341509641685445</v>
      </c>
      <c r="I216" s="14" t="n">
        <v>0.237963855628708</v>
      </c>
      <c r="J216" s="14" t="n">
        <v>0.420526502685847</v>
      </c>
      <c r="K216" s="12" t="s">
        <v>65</v>
      </c>
      <c r="L216" s="15" t="n">
        <v>977</v>
      </c>
      <c r="M216" s="15" t="n">
        <v>11</v>
      </c>
    </row>
    <row r="217" customFormat="false" ht="15" hidden="false" customHeight="false" outlineLevel="0" collapsed="false">
      <c r="A217" s="12" t="s">
        <v>36</v>
      </c>
      <c r="B217" s="7" t="s">
        <v>37</v>
      </c>
      <c r="C217" s="12" t="s">
        <v>81</v>
      </c>
      <c r="D217" s="7" t="s">
        <v>32</v>
      </c>
      <c r="E217" s="7" t="s">
        <v>31</v>
      </c>
      <c r="F217" s="12" t="n">
        <f aca="false">IF(D217=E217,1,0)</f>
        <v>0</v>
      </c>
      <c r="G217" s="13" t="n">
        <v>0.0132158590308371</v>
      </c>
      <c r="H217" s="14" t="n">
        <v>0.383191617461641</v>
      </c>
      <c r="I217" s="14" t="n">
        <v>0.238863638113823</v>
      </c>
      <c r="J217" s="14" t="n">
        <v>0.377944744424537</v>
      </c>
      <c r="K217" s="12" t="s">
        <v>65</v>
      </c>
      <c r="L217" s="15" t="n">
        <v>977</v>
      </c>
      <c r="M217" s="15" t="n">
        <v>11</v>
      </c>
    </row>
    <row r="218" customFormat="false" ht="15" hidden="false" customHeight="false" outlineLevel="0" collapsed="false">
      <c r="A218" s="12" t="s">
        <v>38</v>
      </c>
      <c r="B218" s="7" t="s">
        <v>39</v>
      </c>
      <c r="C218" s="12" t="s">
        <v>81</v>
      </c>
      <c r="D218" s="7" t="s">
        <v>31</v>
      </c>
      <c r="E218" s="7" t="s">
        <v>31</v>
      </c>
      <c r="F218" s="12" t="n">
        <f aca="false">IF(D218=E218,1,0)</f>
        <v>1</v>
      </c>
      <c r="G218" s="13" t="n">
        <v>0.0879249706916764</v>
      </c>
      <c r="H218" s="14" t="n">
        <v>0.344662074084938</v>
      </c>
      <c r="I218" s="14" t="n">
        <v>0.179457577935997</v>
      </c>
      <c r="J218" s="14" t="n">
        <v>0.475880347979065</v>
      </c>
      <c r="K218" s="12" t="s">
        <v>65</v>
      </c>
      <c r="L218" s="15" t="n">
        <v>977</v>
      </c>
      <c r="M218" s="15" t="n">
        <v>11</v>
      </c>
    </row>
    <row r="219" customFormat="false" ht="15" hidden="false" customHeight="false" outlineLevel="0" collapsed="false">
      <c r="A219" s="12" t="s">
        <v>41</v>
      </c>
      <c r="B219" s="7" t="s">
        <v>42</v>
      </c>
      <c r="C219" s="12" t="s">
        <v>81</v>
      </c>
      <c r="D219" s="7" t="s">
        <v>31</v>
      </c>
      <c r="E219" s="7" t="s">
        <v>40</v>
      </c>
      <c r="F219" s="12" t="n">
        <f aca="false">IF(D219=E219,1,0)</f>
        <v>0</v>
      </c>
      <c r="G219" s="13" t="n">
        <v>0</v>
      </c>
      <c r="H219" s="14" t="n">
        <v>0.34084768702052</v>
      </c>
      <c r="I219" s="14" t="n">
        <v>0.194827512886436</v>
      </c>
      <c r="J219" s="14" t="n">
        <v>0.464324800093045</v>
      </c>
      <c r="K219" s="12" t="s">
        <v>65</v>
      </c>
      <c r="L219" s="15" t="n">
        <v>977</v>
      </c>
      <c r="M219" s="15" t="n">
        <v>11</v>
      </c>
    </row>
    <row r="220" customFormat="false" ht="15" hidden="false" customHeight="false" outlineLevel="0" collapsed="false">
      <c r="A220" s="12" t="s">
        <v>43</v>
      </c>
      <c r="B220" s="7" t="s">
        <v>44</v>
      </c>
      <c r="C220" s="12" t="s">
        <v>81</v>
      </c>
      <c r="D220" s="7" t="s">
        <v>31</v>
      </c>
      <c r="E220" s="7" t="s">
        <v>31</v>
      </c>
      <c r="F220" s="12" t="n">
        <f aca="false">IF(D220=E220,1,0)</f>
        <v>1</v>
      </c>
      <c r="G220" s="13" t="n">
        <v>0.0276774969915765</v>
      </c>
      <c r="H220" s="14" t="n">
        <v>0.38861837099757</v>
      </c>
      <c r="I220" s="14" t="n">
        <v>0.177961694344129</v>
      </c>
      <c r="J220" s="14" t="n">
        <v>0.433419934658301</v>
      </c>
      <c r="K220" s="12" t="s">
        <v>65</v>
      </c>
      <c r="L220" s="15" t="n">
        <v>977</v>
      </c>
      <c r="M220" s="15" t="n">
        <v>11</v>
      </c>
    </row>
    <row r="221" customFormat="false" ht="15" hidden="false" customHeight="false" outlineLevel="0" collapsed="false">
      <c r="A221" s="12" t="s">
        <v>28</v>
      </c>
      <c r="B221" s="7" t="s">
        <v>29</v>
      </c>
      <c r="C221" s="12" t="s">
        <v>82</v>
      </c>
      <c r="D221" s="7" t="s">
        <v>31</v>
      </c>
      <c r="E221" s="7" t="s">
        <v>32</v>
      </c>
      <c r="F221" s="12" t="n">
        <f aca="false">IF(D221=E221,1,0)</f>
        <v>0</v>
      </c>
      <c r="G221" s="13" t="n">
        <v>-0.0515873015873016</v>
      </c>
      <c r="H221" s="14" t="n">
        <v>0.345420306156626</v>
      </c>
      <c r="I221" s="14" t="n">
        <v>0.240095905423247</v>
      </c>
      <c r="J221" s="14" t="n">
        <v>0.414483788420128</v>
      </c>
      <c r="K221" s="12" t="s">
        <v>65</v>
      </c>
      <c r="L221" s="15" t="n">
        <v>977</v>
      </c>
      <c r="M221" s="15" t="n">
        <v>11</v>
      </c>
    </row>
    <row r="222" customFormat="false" ht="15" hidden="false" customHeight="false" outlineLevel="0" collapsed="false">
      <c r="A222" s="12" t="s">
        <v>34</v>
      </c>
      <c r="B222" s="7" t="s">
        <v>35</v>
      </c>
      <c r="C222" s="12" t="s">
        <v>82</v>
      </c>
      <c r="D222" s="7" t="s">
        <v>31</v>
      </c>
      <c r="E222" s="7" t="s">
        <v>40</v>
      </c>
      <c r="F222" s="12" t="n">
        <f aca="false">IF(D222=E222,1,0)</f>
        <v>0</v>
      </c>
      <c r="G222" s="13" t="n">
        <v>-0.0037878787878787</v>
      </c>
      <c r="H222" s="14" t="n">
        <v>0.350613328682339</v>
      </c>
      <c r="I222" s="14" t="n">
        <v>0.249968214913297</v>
      </c>
      <c r="J222" s="14" t="n">
        <v>0.399418456404365</v>
      </c>
      <c r="K222" s="12" t="s">
        <v>65</v>
      </c>
      <c r="L222" s="15" t="n">
        <v>977</v>
      </c>
      <c r="M222" s="15" t="n">
        <v>11</v>
      </c>
    </row>
    <row r="223" customFormat="false" ht="15" hidden="false" customHeight="false" outlineLevel="0" collapsed="false">
      <c r="A223" s="12" t="s">
        <v>36</v>
      </c>
      <c r="B223" s="7" t="s">
        <v>37</v>
      </c>
      <c r="C223" s="12" t="s">
        <v>82</v>
      </c>
      <c r="D223" s="7" t="s">
        <v>31</v>
      </c>
      <c r="E223" s="7" t="s">
        <v>40</v>
      </c>
      <c r="F223" s="12" t="n">
        <f aca="false">IF(D223=E223,1,0)</f>
        <v>0</v>
      </c>
      <c r="G223" s="13" t="n">
        <v>-0.0021739130434782</v>
      </c>
      <c r="H223" s="14" t="n">
        <v>0.3895874206051</v>
      </c>
      <c r="I223" s="14" t="n">
        <v>0.196516235698445</v>
      </c>
      <c r="J223" s="14" t="n">
        <v>0.413896343696455</v>
      </c>
      <c r="K223" s="12" t="s">
        <v>65</v>
      </c>
      <c r="L223" s="15" t="n">
        <v>977</v>
      </c>
      <c r="M223" s="15" t="n">
        <v>11</v>
      </c>
    </row>
    <row r="224" customFormat="false" ht="15" hidden="false" customHeight="false" outlineLevel="0" collapsed="false">
      <c r="A224" s="12" t="s">
        <v>38</v>
      </c>
      <c r="B224" s="7" t="s">
        <v>39</v>
      </c>
      <c r="C224" s="12" t="s">
        <v>82</v>
      </c>
      <c r="D224" s="7" t="s">
        <v>31</v>
      </c>
      <c r="E224" s="7" t="s">
        <v>32</v>
      </c>
      <c r="F224" s="12" t="n">
        <f aca="false">IF(D224=E224,1,0)</f>
        <v>0</v>
      </c>
      <c r="G224" s="13" t="n">
        <v>-0.0495689655172413</v>
      </c>
      <c r="H224" s="14" t="n">
        <v>0.381135409580684</v>
      </c>
      <c r="I224" s="14" t="n">
        <v>0.20894652733806</v>
      </c>
      <c r="J224" s="14" t="n">
        <v>0.409918063081256</v>
      </c>
      <c r="K224" s="12" t="s">
        <v>65</v>
      </c>
      <c r="L224" s="15" t="n">
        <v>977</v>
      </c>
      <c r="M224" s="15" t="n">
        <v>11</v>
      </c>
    </row>
    <row r="225" customFormat="false" ht="15" hidden="false" customHeight="false" outlineLevel="0" collapsed="false">
      <c r="A225" s="12" t="s">
        <v>41</v>
      </c>
      <c r="B225" s="7" t="s">
        <v>42</v>
      </c>
      <c r="C225" s="12" t="s">
        <v>82</v>
      </c>
      <c r="D225" s="7" t="s">
        <v>31</v>
      </c>
      <c r="E225" s="7" t="s">
        <v>40</v>
      </c>
      <c r="F225" s="12" t="n">
        <f aca="false">IF(D225=E225,1,0)</f>
        <v>0</v>
      </c>
      <c r="G225" s="13" t="n">
        <v>-0.0023640661938534</v>
      </c>
      <c r="H225" s="14" t="n">
        <v>0.390170410272045</v>
      </c>
      <c r="I225" s="14" t="n">
        <v>0.196622867748775</v>
      </c>
      <c r="J225" s="14" t="n">
        <v>0.41320672197918</v>
      </c>
      <c r="K225" s="12" t="s">
        <v>65</v>
      </c>
      <c r="L225" s="15" t="n">
        <v>977</v>
      </c>
      <c r="M225" s="15" t="n">
        <v>11</v>
      </c>
    </row>
    <row r="226" customFormat="false" ht="15" hidden="false" customHeight="false" outlineLevel="0" collapsed="false">
      <c r="A226" s="12" t="s">
        <v>43</v>
      </c>
      <c r="B226" s="7" t="s">
        <v>44</v>
      </c>
      <c r="C226" s="12" t="s">
        <v>82</v>
      </c>
      <c r="D226" s="7" t="s">
        <v>32</v>
      </c>
      <c r="E226" s="7" t="s">
        <v>32</v>
      </c>
      <c r="F226" s="12" t="n">
        <f aca="false">IF(D226=E226,1,0)</f>
        <v>1</v>
      </c>
      <c r="G226" s="13" t="n">
        <v>-0.0070257611241218</v>
      </c>
      <c r="H226" s="14" t="n">
        <v>0.43666386644195</v>
      </c>
      <c r="I226" s="14" t="n">
        <v>0.170539259824699</v>
      </c>
      <c r="J226" s="14" t="n">
        <v>0.392796873733351</v>
      </c>
      <c r="K226" s="12" t="s">
        <v>65</v>
      </c>
      <c r="L226" s="15" t="n">
        <v>977</v>
      </c>
      <c r="M226" s="15" t="n">
        <v>11</v>
      </c>
    </row>
    <row r="227" customFormat="false" ht="15" hidden="false" customHeight="false" outlineLevel="0" collapsed="false">
      <c r="A227" s="12" t="s">
        <v>28</v>
      </c>
      <c r="B227" s="7" t="s">
        <v>29</v>
      </c>
      <c r="C227" s="12" t="s">
        <v>83</v>
      </c>
      <c r="D227" s="7" t="s">
        <v>31</v>
      </c>
      <c r="E227" s="7" t="s">
        <v>31</v>
      </c>
      <c r="F227" s="12" t="n">
        <f aca="false">IF(D227=E227,1,0)</f>
        <v>1</v>
      </c>
      <c r="G227" s="13" t="n">
        <v>0.0230125523012552</v>
      </c>
      <c r="H227" s="14" t="n">
        <v>0.379249840418513</v>
      </c>
      <c r="I227" s="14" t="n">
        <v>0.230128537705309</v>
      </c>
      <c r="J227" s="14" t="n">
        <v>0.390621621876178</v>
      </c>
      <c r="K227" s="12" t="s">
        <v>65</v>
      </c>
      <c r="L227" s="15" t="n">
        <v>977</v>
      </c>
      <c r="M227" s="15" t="n">
        <v>11</v>
      </c>
    </row>
    <row r="228" customFormat="false" ht="15" hidden="false" customHeight="false" outlineLevel="0" collapsed="false">
      <c r="A228" s="12" t="s">
        <v>34</v>
      </c>
      <c r="B228" s="7" t="s">
        <v>35</v>
      </c>
      <c r="C228" s="12" t="s">
        <v>83</v>
      </c>
      <c r="D228" s="7" t="s">
        <v>32</v>
      </c>
      <c r="E228" s="7" t="s">
        <v>31</v>
      </c>
      <c r="F228" s="12" t="n">
        <f aca="false">IF(D228=E228,1,0)</f>
        <v>0</v>
      </c>
      <c r="G228" s="13" t="n">
        <v>0.0988593155893535</v>
      </c>
      <c r="H228" s="14" t="n">
        <v>0.425615897468342</v>
      </c>
      <c r="I228" s="14" t="n">
        <v>0.224908775317146</v>
      </c>
      <c r="J228" s="14" t="n">
        <v>0.349475327214512</v>
      </c>
      <c r="K228" s="12" t="s">
        <v>65</v>
      </c>
      <c r="L228" s="15" t="n">
        <v>977</v>
      </c>
      <c r="M228" s="15" t="n">
        <v>11</v>
      </c>
    </row>
    <row r="229" customFormat="false" ht="15" hidden="false" customHeight="false" outlineLevel="0" collapsed="false">
      <c r="A229" s="12" t="s">
        <v>36</v>
      </c>
      <c r="B229" s="7" t="s">
        <v>37</v>
      </c>
      <c r="C229" s="12" t="s">
        <v>83</v>
      </c>
      <c r="D229" s="7" t="s">
        <v>32</v>
      </c>
      <c r="E229" s="7" t="s">
        <v>31</v>
      </c>
      <c r="F229" s="12" t="n">
        <f aca="false">IF(D229=E229,1,0)</f>
        <v>0</v>
      </c>
      <c r="G229" s="13" t="n">
        <v>0.0261437908496731</v>
      </c>
      <c r="H229" s="14" t="n">
        <v>0.44232232451182</v>
      </c>
      <c r="I229" s="14" t="n">
        <v>0.181675166744983</v>
      </c>
      <c r="J229" s="14" t="n">
        <v>0.376002508743197</v>
      </c>
      <c r="K229" s="12" t="s">
        <v>65</v>
      </c>
      <c r="L229" s="15" t="n">
        <v>977</v>
      </c>
      <c r="M229" s="15" t="n">
        <v>11</v>
      </c>
    </row>
    <row r="230" customFormat="false" ht="15" hidden="false" customHeight="false" outlineLevel="0" collapsed="false">
      <c r="A230" s="12" t="s">
        <v>38</v>
      </c>
      <c r="B230" s="7" t="s">
        <v>39</v>
      </c>
      <c r="C230" s="12" t="s">
        <v>83</v>
      </c>
      <c r="D230" s="7" t="s">
        <v>32</v>
      </c>
      <c r="E230" s="7" t="s">
        <v>32</v>
      </c>
      <c r="F230" s="12" t="n">
        <f aca="false">IF(D230=E230,1,0)</f>
        <v>1</v>
      </c>
      <c r="G230" s="13" t="n">
        <v>-0.0226757369614512</v>
      </c>
      <c r="H230" s="14" t="n">
        <v>0.42917581694075</v>
      </c>
      <c r="I230" s="14" t="n">
        <v>0.200281726271778</v>
      </c>
      <c r="J230" s="14" t="n">
        <v>0.370542456787471</v>
      </c>
      <c r="K230" s="12" t="s">
        <v>65</v>
      </c>
      <c r="L230" s="15" t="n">
        <v>977</v>
      </c>
      <c r="M230" s="15" t="n">
        <v>11</v>
      </c>
    </row>
    <row r="231" customFormat="false" ht="15" hidden="false" customHeight="false" outlineLevel="0" collapsed="false">
      <c r="A231" s="12" t="s">
        <v>41</v>
      </c>
      <c r="B231" s="7" t="s">
        <v>42</v>
      </c>
      <c r="C231" s="12" t="s">
        <v>83</v>
      </c>
      <c r="D231" s="7" t="s">
        <v>32</v>
      </c>
      <c r="E231" s="7" t="s">
        <v>31</v>
      </c>
      <c r="F231" s="12" t="n">
        <f aca="false">IF(D231=E231,1,0)</f>
        <v>0</v>
      </c>
      <c r="G231" s="13" t="n">
        <v>0.009478672985782</v>
      </c>
      <c r="H231" s="14" t="n">
        <v>0.454296872611715</v>
      </c>
      <c r="I231" s="14" t="n">
        <v>0.195307187612118</v>
      </c>
      <c r="J231" s="14" t="n">
        <v>0.350395939776166</v>
      </c>
      <c r="K231" s="12" t="s">
        <v>65</v>
      </c>
      <c r="L231" s="15" t="n">
        <v>977</v>
      </c>
      <c r="M231" s="15" t="n">
        <v>11</v>
      </c>
    </row>
    <row r="232" customFormat="false" ht="15" hidden="false" customHeight="false" outlineLevel="0" collapsed="false">
      <c r="A232" s="12" t="s">
        <v>43</v>
      </c>
      <c r="B232" s="7" t="s">
        <v>44</v>
      </c>
      <c r="C232" s="12" t="s">
        <v>83</v>
      </c>
      <c r="D232" s="7" t="s">
        <v>31</v>
      </c>
      <c r="E232" s="7" t="s">
        <v>31</v>
      </c>
      <c r="F232" s="12" t="n">
        <f aca="false">IF(D232=E232,1,0)</f>
        <v>1</v>
      </c>
      <c r="G232" s="13" t="n">
        <v>0.0106132075471698</v>
      </c>
      <c r="H232" s="14" t="n">
        <v>0.411087601928554</v>
      </c>
      <c r="I232" s="14" t="n">
        <v>0.175731886434994</v>
      </c>
      <c r="J232" s="14" t="n">
        <v>0.413180511636452</v>
      </c>
      <c r="K232" s="12" t="s">
        <v>65</v>
      </c>
      <c r="L232" s="15" t="n">
        <v>977</v>
      </c>
      <c r="M232" s="15" t="n">
        <v>11</v>
      </c>
    </row>
    <row r="233" customFormat="false" ht="15" hidden="false" customHeight="false" outlineLevel="0" collapsed="false">
      <c r="A233" s="12" t="s">
        <v>28</v>
      </c>
      <c r="B233" s="7" t="s">
        <v>29</v>
      </c>
      <c r="C233" s="12" t="s">
        <v>84</v>
      </c>
      <c r="D233" s="7" t="s">
        <v>31</v>
      </c>
      <c r="E233" s="7" t="s">
        <v>32</v>
      </c>
      <c r="F233" s="12" t="n">
        <f aca="false">IF(D233=E233,1,0)</f>
        <v>0</v>
      </c>
      <c r="G233" s="13" t="n">
        <v>-0.0102249488752556</v>
      </c>
      <c r="H233" s="14" t="n">
        <v>0.400463868273909</v>
      </c>
      <c r="I233" s="14" t="n">
        <v>0.184563534360531</v>
      </c>
      <c r="J233" s="14" t="n">
        <v>0.414972597365559</v>
      </c>
      <c r="K233" s="12" t="s">
        <v>65</v>
      </c>
      <c r="L233" s="15" t="n">
        <v>977</v>
      </c>
      <c r="M233" s="15" t="n">
        <v>11</v>
      </c>
    </row>
    <row r="234" customFormat="false" ht="15" hidden="false" customHeight="false" outlineLevel="0" collapsed="false">
      <c r="A234" s="12" t="s">
        <v>34</v>
      </c>
      <c r="B234" s="7" t="s">
        <v>35</v>
      </c>
      <c r="C234" s="12" t="s">
        <v>84</v>
      </c>
      <c r="D234" s="7" t="s">
        <v>31</v>
      </c>
      <c r="E234" s="7" t="s">
        <v>31</v>
      </c>
      <c r="F234" s="12" t="n">
        <f aca="false">IF(D234=E234,1,0)</f>
        <v>1</v>
      </c>
      <c r="G234" s="13" t="n">
        <v>0.0155709342560552</v>
      </c>
      <c r="H234" s="14" t="n">
        <v>0.404892487697202</v>
      </c>
      <c r="I234" s="14" t="n">
        <v>0.189195081226134</v>
      </c>
      <c r="J234" s="14" t="n">
        <v>0.405912431076664</v>
      </c>
      <c r="K234" s="12" t="s">
        <v>65</v>
      </c>
      <c r="L234" s="15" t="n">
        <v>977</v>
      </c>
      <c r="M234" s="15" t="n">
        <v>11</v>
      </c>
    </row>
    <row r="235" customFormat="false" ht="15" hidden="false" customHeight="false" outlineLevel="0" collapsed="false">
      <c r="A235" s="12" t="s">
        <v>36</v>
      </c>
      <c r="B235" s="7" t="s">
        <v>37</v>
      </c>
      <c r="C235" s="12" t="s">
        <v>84</v>
      </c>
      <c r="D235" s="7" t="s">
        <v>32</v>
      </c>
      <c r="E235" s="7" t="s">
        <v>40</v>
      </c>
      <c r="F235" s="12" t="n">
        <f aca="false">IF(D235=E235,1,0)</f>
        <v>0</v>
      </c>
      <c r="G235" s="13" t="n">
        <v>0</v>
      </c>
      <c r="H235" s="14" t="n">
        <v>0.427982881759424</v>
      </c>
      <c r="I235" s="14" t="n">
        <v>0.172127354197191</v>
      </c>
      <c r="J235" s="14" t="n">
        <v>0.399889764043385</v>
      </c>
      <c r="K235" s="12" t="s">
        <v>65</v>
      </c>
      <c r="L235" s="15" t="n">
        <v>977</v>
      </c>
      <c r="M235" s="15" t="n">
        <v>11</v>
      </c>
    </row>
    <row r="236" customFormat="false" ht="15" hidden="false" customHeight="false" outlineLevel="0" collapsed="false">
      <c r="A236" s="12" t="s">
        <v>38</v>
      </c>
      <c r="B236" s="7" t="s">
        <v>39</v>
      </c>
      <c r="C236" s="12" t="s">
        <v>84</v>
      </c>
      <c r="D236" s="7" t="s">
        <v>32</v>
      </c>
      <c r="E236" s="7" t="s">
        <v>31</v>
      </c>
      <c r="F236" s="12" t="n">
        <f aca="false">IF(D236=E236,1,0)</f>
        <v>0</v>
      </c>
      <c r="G236" s="13" t="n">
        <v>0.056844547563805</v>
      </c>
      <c r="H236" s="14" t="n">
        <v>0.417934143262412</v>
      </c>
      <c r="I236" s="14" t="n">
        <v>0.196085400269729</v>
      </c>
      <c r="J236" s="14" t="n">
        <v>0.38598045646786</v>
      </c>
      <c r="K236" s="12" t="s">
        <v>65</v>
      </c>
      <c r="L236" s="15" t="n">
        <v>977</v>
      </c>
      <c r="M236" s="15" t="n">
        <v>11</v>
      </c>
    </row>
    <row r="237" customFormat="false" ht="15" hidden="false" customHeight="false" outlineLevel="0" collapsed="false">
      <c r="A237" s="12" t="s">
        <v>41</v>
      </c>
      <c r="B237" s="7" t="s">
        <v>42</v>
      </c>
      <c r="C237" s="12" t="s">
        <v>84</v>
      </c>
      <c r="D237" s="7" t="s">
        <v>32</v>
      </c>
      <c r="E237" s="7" t="s">
        <v>31</v>
      </c>
      <c r="F237" s="12" t="n">
        <f aca="false">IF(D237=E237,1,0)</f>
        <v>0</v>
      </c>
      <c r="G237" s="13" t="n">
        <v>0.0516431924882629</v>
      </c>
      <c r="H237" s="14" t="n">
        <v>0.431841232009957</v>
      </c>
      <c r="I237" s="14" t="n">
        <v>0.183970697837303</v>
      </c>
      <c r="J237" s="14" t="n">
        <v>0.38418807015274</v>
      </c>
      <c r="K237" s="12" t="s">
        <v>65</v>
      </c>
      <c r="L237" s="15" t="n">
        <v>977</v>
      </c>
      <c r="M237" s="15" t="n">
        <v>11</v>
      </c>
    </row>
    <row r="238" customFormat="false" ht="15" hidden="false" customHeight="false" outlineLevel="0" collapsed="false">
      <c r="A238" s="12" t="s">
        <v>43</v>
      </c>
      <c r="B238" s="7" t="s">
        <v>44</v>
      </c>
      <c r="C238" s="12" t="s">
        <v>84</v>
      </c>
      <c r="D238" s="7" t="s">
        <v>31</v>
      </c>
      <c r="E238" s="7" t="s">
        <v>31</v>
      </c>
      <c r="F238" s="12" t="n">
        <f aca="false">IF(D238=E238,1,0)</f>
        <v>1</v>
      </c>
      <c r="G238" s="13" t="n">
        <v>0.029171528588098</v>
      </c>
      <c r="H238" s="14" t="n">
        <v>0.405841997540953</v>
      </c>
      <c r="I238" s="14" t="n">
        <v>0.177946680133698</v>
      </c>
      <c r="J238" s="14" t="n">
        <v>0.416211322325349</v>
      </c>
      <c r="K238" s="12" t="s">
        <v>65</v>
      </c>
      <c r="L238" s="15" t="n">
        <v>977</v>
      </c>
      <c r="M238" s="15" t="n">
        <v>11</v>
      </c>
    </row>
    <row r="239" customFormat="false" ht="15" hidden="false" customHeight="false" outlineLevel="0" collapsed="false">
      <c r="A239" s="12" t="s">
        <v>28</v>
      </c>
      <c r="B239" s="7" t="s">
        <v>29</v>
      </c>
      <c r="C239" s="12" t="s">
        <v>85</v>
      </c>
      <c r="D239" s="7" t="s">
        <v>31</v>
      </c>
      <c r="E239" s="7" t="s">
        <v>32</v>
      </c>
      <c r="F239" s="12" t="n">
        <f aca="false">IF(D239=E239,1,0)</f>
        <v>0</v>
      </c>
      <c r="G239" s="13" t="n">
        <v>-0.024793388429752</v>
      </c>
      <c r="H239" s="14" t="n">
        <v>0.322507278532798</v>
      </c>
      <c r="I239" s="14" t="n">
        <v>0.238349671341989</v>
      </c>
      <c r="J239" s="14" t="n">
        <v>0.439143050125213</v>
      </c>
      <c r="K239" s="12" t="s">
        <v>86</v>
      </c>
      <c r="L239" s="15" t="n">
        <v>1094</v>
      </c>
      <c r="M239" s="15" t="n">
        <v>8</v>
      </c>
    </row>
    <row r="240" customFormat="false" ht="15" hidden="false" customHeight="false" outlineLevel="0" collapsed="false">
      <c r="A240" s="12" t="s">
        <v>34</v>
      </c>
      <c r="B240" s="7" t="s">
        <v>35</v>
      </c>
      <c r="C240" s="12" t="s">
        <v>85</v>
      </c>
      <c r="D240" s="7" t="s">
        <v>31</v>
      </c>
      <c r="E240" s="7" t="s">
        <v>31</v>
      </c>
      <c r="F240" s="12" t="n">
        <f aca="false">IF(D240=E240,1,0)</f>
        <v>1</v>
      </c>
      <c r="G240" s="13" t="n">
        <v>0.0272572402044293</v>
      </c>
      <c r="H240" s="14" t="n">
        <v>0.358741547858891</v>
      </c>
      <c r="I240" s="14" t="n">
        <v>0.215788547291429</v>
      </c>
      <c r="J240" s="14" t="n">
        <v>0.42546990484968</v>
      </c>
      <c r="K240" s="12" t="s">
        <v>86</v>
      </c>
      <c r="L240" s="15" t="n">
        <v>1094</v>
      </c>
      <c r="M240" s="15" t="n">
        <v>8</v>
      </c>
    </row>
    <row r="241" customFormat="false" ht="15" hidden="false" customHeight="false" outlineLevel="0" collapsed="false">
      <c r="A241" s="12" t="s">
        <v>36</v>
      </c>
      <c r="B241" s="7" t="s">
        <v>37</v>
      </c>
      <c r="C241" s="12" t="s">
        <v>85</v>
      </c>
      <c r="D241" s="7" t="s">
        <v>31</v>
      </c>
      <c r="E241" s="7" t="s">
        <v>31</v>
      </c>
      <c r="F241" s="12" t="n">
        <f aca="false">IF(D241=E241,1,0)</f>
        <v>1</v>
      </c>
      <c r="G241" s="13" t="n">
        <v>0.0106157112526539</v>
      </c>
      <c r="H241" s="14" t="n">
        <v>0.359464142658919</v>
      </c>
      <c r="I241" s="14" t="n">
        <v>0.234227238759014</v>
      </c>
      <c r="J241" s="14" t="n">
        <v>0.406308618582066</v>
      </c>
      <c r="K241" s="12" t="s">
        <v>86</v>
      </c>
      <c r="L241" s="15" t="n">
        <v>1094</v>
      </c>
      <c r="M241" s="15" t="n">
        <v>8</v>
      </c>
    </row>
    <row r="242" customFormat="false" ht="15" hidden="false" customHeight="false" outlineLevel="0" collapsed="false">
      <c r="A242" s="12" t="s">
        <v>38</v>
      </c>
      <c r="B242" s="7" t="s">
        <v>39</v>
      </c>
      <c r="C242" s="12" t="s">
        <v>85</v>
      </c>
      <c r="D242" s="7" t="s">
        <v>31</v>
      </c>
      <c r="E242" s="7" t="s">
        <v>32</v>
      </c>
      <c r="F242" s="12" t="n">
        <f aca="false">IF(D242=E242,1,0)</f>
        <v>0</v>
      </c>
      <c r="G242" s="13" t="n">
        <v>-0.0065861690450055</v>
      </c>
      <c r="H242" s="14" t="n">
        <v>0.337092522616542</v>
      </c>
      <c r="I242" s="14" t="n">
        <v>0.221645254480271</v>
      </c>
      <c r="J242" s="14" t="n">
        <v>0.441262222903187</v>
      </c>
      <c r="K242" s="12" t="s">
        <v>86</v>
      </c>
      <c r="L242" s="15" t="n">
        <v>1094</v>
      </c>
      <c r="M242" s="15" t="n">
        <v>8</v>
      </c>
    </row>
    <row r="243" customFormat="false" ht="15" hidden="false" customHeight="false" outlineLevel="0" collapsed="false">
      <c r="A243" s="12" t="s">
        <v>41</v>
      </c>
      <c r="B243" s="7" t="s">
        <v>42</v>
      </c>
      <c r="C243" s="12" t="s">
        <v>85</v>
      </c>
      <c r="D243" s="7" t="s">
        <v>31</v>
      </c>
      <c r="E243" s="7" t="s">
        <v>31</v>
      </c>
      <c r="F243" s="12" t="n">
        <f aca="false">IF(D243=E243,1,0)</f>
        <v>1</v>
      </c>
      <c r="G243" s="13" t="n">
        <v>0.03125</v>
      </c>
      <c r="H243" s="14" t="n">
        <v>0.363135394130336</v>
      </c>
      <c r="I243" s="14" t="n">
        <v>0.247195802734113</v>
      </c>
      <c r="J243" s="14" t="n">
        <v>0.389668803135551</v>
      </c>
      <c r="K243" s="12" t="s">
        <v>86</v>
      </c>
      <c r="L243" s="15" t="n">
        <v>1094</v>
      </c>
      <c r="M243" s="15" t="n">
        <v>8</v>
      </c>
    </row>
    <row r="244" customFormat="false" ht="15" hidden="false" customHeight="false" outlineLevel="0" collapsed="false">
      <c r="A244" s="12" t="s">
        <v>43</v>
      </c>
      <c r="B244" s="7" t="s">
        <v>44</v>
      </c>
      <c r="C244" s="12" t="s">
        <v>85</v>
      </c>
      <c r="D244" s="7" t="s">
        <v>31</v>
      </c>
      <c r="E244" s="7" t="s">
        <v>31</v>
      </c>
      <c r="F244" s="12" t="n">
        <f aca="false">IF(D244=E244,1,0)</f>
        <v>1</v>
      </c>
      <c r="G244" s="13" t="n">
        <v>0.0113378684807257</v>
      </c>
      <c r="H244" s="14" t="n">
        <v>0.364507222650911</v>
      </c>
      <c r="I244" s="14" t="n">
        <v>0.220549595608789</v>
      </c>
      <c r="J244" s="14" t="n">
        <v>0.4149431817403</v>
      </c>
      <c r="K244" s="12" t="s">
        <v>86</v>
      </c>
      <c r="L244" s="15" t="n">
        <v>1094</v>
      </c>
      <c r="M244" s="15" t="n">
        <v>8</v>
      </c>
    </row>
    <row r="245" customFormat="false" ht="15" hidden="false" customHeight="false" outlineLevel="0" collapsed="false">
      <c r="A245" s="12" t="s">
        <v>28</v>
      </c>
      <c r="B245" s="7" t="s">
        <v>29</v>
      </c>
      <c r="C245" s="12" t="s">
        <v>87</v>
      </c>
      <c r="D245" s="7" t="s">
        <v>31</v>
      </c>
      <c r="E245" s="7" t="s">
        <v>31</v>
      </c>
      <c r="F245" s="12" t="n">
        <f aca="false">IF(D245=E245,1,0)</f>
        <v>1</v>
      </c>
      <c r="G245" s="13" t="n">
        <v>0.0402542372881356</v>
      </c>
      <c r="H245" s="14" t="n">
        <v>0.315039421163861</v>
      </c>
      <c r="I245" s="14" t="n">
        <v>0.231217808226152</v>
      </c>
      <c r="J245" s="14" t="n">
        <v>0.453742770609987</v>
      </c>
      <c r="K245" s="12" t="s">
        <v>86</v>
      </c>
      <c r="L245" s="15" t="n">
        <v>1094</v>
      </c>
      <c r="M245" s="15" t="n">
        <v>8</v>
      </c>
    </row>
    <row r="246" customFormat="false" ht="15" hidden="false" customHeight="false" outlineLevel="0" collapsed="false">
      <c r="A246" s="12" t="s">
        <v>34</v>
      </c>
      <c r="B246" s="7" t="s">
        <v>35</v>
      </c>
      <c r="C246" s="12" t="s">
        <v>87</v>
      </c>
      <c r="D246" s="7" t="s">
        <v>31</v>
      </c>
      <c r="E246" s="7" t="s">
        <v>31</v>
      </c>
      <c r="F246" s="12" t="n">
        <f aca="false">IF(D246=E246,1,0)</f>
        <v>1</v>
      </c>
      <c r="G246" s="13" t="n">
        <v>0.0248756218905472</v>
      </c>
      <c r="H246" s="14" t="n">
        <v>0.358384710723051</v>
      </c>
      <c r="I246" s="14" t="n">
        <v>0.254568956178655</v>
      </c>
      <c r="J246" s="14" t="n">
        <v>0.387046333098294</v>
      </c>
      <c r="K246" s="12" t="s">
        <v>86</v>
      </c>
      <c r="L246" s="15" t="n">
        <v>1094</v>
      </c>
      <c r="M246" s="15" t="n">
        <v>8</v>
      </c>
    </row>
    <row r="247" customFormat="false" ht="15" hidden="false" customHeight="false" outlineLevel="0" collapsed="false">
      <c r="A247" s="12" t="s">
        <v>36</v>
      </c>
      <c r="B247" s="7" t="s">
        <v>37</v>
      </c>
      <c r="C247" s="12" t="s">
        <v>87</v>
      </c>
      <c r="D247" s="7" t="s">
        <v>31</v>
      </c>
      <c r="E247" s="7" t="s">
        <v>31</v>
      </c>
      <c r="F247" s="12" t="n">
        <f aca="false">IF(D247=E247,1,0)</f>
        <v>1</v>
      </c>
      <c r="G247" s="13" t="n">
        <v>0.01890756302521</v>
      </c>
      <c r="H247" s="14" t="n">
        <v>0.337845597190499</v>
      </c>
      <c r="I247" s="14" t="n">
        <v>0.250939427000334</v>
      </c>
      <c r="J247" s="14" t="n">
        <v>0.411214975809167</v>
      </c>
      <c r="K247" s="12" t="s">
        <v>86</v>
      </c>
      <c r="L247" s="15" t="n">
        <v>1094</v>
      </c>
      <c r="M247" s="15" t="n">
        <v>8</v>
      </c>
    </row>
    <row r="248" customFormat="false" ht="15" hidden="false" customHeight="false" outlineLevel="0" collapsed="false">
      <c r="A248" s="12" t="s">
        <v>38</v>
      </c>
      <c r="B248" s="7" t="s">
        <v>39</v>
      </c>
      <c r="C248" s="12" t="s">
        <v>87</v>
      </c>
      <c r="D248" s="7" t="s">
        <v>31</v>
      </c>
      <c r="E248" s="7" t="s">
        <v>40</v>
      </c>
      <c r="F248" s="12" t="n">
        <f aca="false">IF(D248=E248,1,0)</f>
        <v>0</v>
      </c>
      <c r="G248" s="13" t="n">
        <v>0.0044198895027625</v>
      </c>
      <c r="H248" s="14" t="n">
        <v>0.311377819103446</v>
      </c>
      <c r="I248" s="14" t="n">
        <v>0.224885883148151</v>
      </c>
      <c r="J248" s="14" t="n">
        <v>0.463736297748403</v>
      </c>
      <c r="K248" s="12" t="s">
        <v>86</v>
      </c>
      <c r="L248" s="15" t="n">
        <v>1094</v>
      </c>
      <c r="M248" s="15" t="n">
        <v>8</v>
      </c>
    </row>
    <row r="249" customFormat="false" ht="15" hidden="false" customHeight="false" outlineLevel="0" collapsed="false">
      <c r="A249" s="12" t="s">
        <v>41</v>
      </c>
      <c r="B249" s="7" t="s">
        <v>42</v>
      </c>
      <c r="C249" s="12" t="s">
        <v>87</v>
      </c>
      <c r="D249" s="7" t="s">
        <v>31</v>
      </c>
      <c r="E249" s="7" t="s">
        <v>31</v>
      </c>
      <c r="F249" s="12" t="n">
        <f aca="false">IF(D249=E249,1,0)</f>
        <v>1</v>
      </c>
      <c r="G249" s="13" t="n">
        <v>0.0259740259740259</v>
      </c>
      <c r="H249" s="14" t="n">
        <v>0.363049067858678</v>
      </c>
      <c r="I249" s="14" t="n">
        <v>0.237137796018719</v>
      </c>
      <c r="J249" s="14" t="n">
        <v>0.399813136122603</v>
      </c>
      <c r="K249" s="12" t="s">
        <v>86</v>
      </c>
      <c r="L249" s="15" t="n">
        <v>1094</v>
      </c>
      <c r="M249" s="15" t="n">
        <v>8</v>
      </c>
    </row>
    <row r="250" customFormat="false" ht="15" hidden="false" customHeight="false" outlineLevel="0" collapsed="false">
      <c r="A250" s="12" t="s">
        <v>43</v>
      </c>
      <c r="B250" s="7" t="s">
        <v>44</v>
      </c>
      <c r="C250" s="12" t="s">
        <v>87</v>
      </c>
      <c r="D250" s="7" t="s">
        <v>31</v>
      </c>
      <c r="E250" s="7" t="s">
        <v>31</v>
      </c>
      <c r="F250" s="12" t="n">
        <f aca="false">IF(D250=E250,1,0)</f>
        <v>1</v>
      </c>
      <c r="G250" s="13" t="n">
        <v>0.0291479820627802</v>
      </c>
      <c r="H250" s="14" t="n">
        <v>0.354089189733926</v>
      </c>
      <c r="I250" s="14" t="n">
        <v>0.224425733552451</v>
      </c>
      <c r="J250" s="14" t="n">
        <v>0.421485076713623</v>
      </c>
      <c r="K250" s="12" t="s">
        <v>86</v>
      </c>
      <c r="L250" s="15" t="n">
        <v>1094</v>
      </c>
      <c r="M250" s="15" t="n">
        <v>8</v>
      </c>
    </row>
    <row r="251" customFormat="false" ht="15" hidden="false" customHeight="false" outlineLevel="0" collapsed="false">
      <c r="A251" s="12" t="s">
        <v>28</v>
      </c>
      <c r="B251" s="7" t="s">
        <v>29</v>
      </c>
      <c r="C251" s="12" t="s">
        <v>88</v>
      </c>
      <c r="D251" s="7" t="s">
        <v>31</v>
      </c>
      <c r="E251" s="7" t="s">
        <v>32</v>
      </c>
      <c r="F251" s="12" t="n">
        <f aca="false">IF(D251=E251,1,0)</f>
        <v>0</v>
      </c>
      <c r="G251" s="13" t="n">
        <v>-0.0122199592668024</v>
      </c>
      <c r="H251" s="14" t="n">
        <v>0.381901597612244</v>
      </c>
      <c r="I251" s="14" t="n">
        <v>0.227912760469807</v>
      </c>
      <c r="J251" s="14" t="n">
        <v>0.390185641917949</v>
      </c>
      <c r="K251" s="12" t="s">
        <v>86</v>
      </c>
      <c r="L251" s="15" t="n">
        <v>1094</v>
      </c>
      <c r="M251" s="15" t="n">
        <v>8</v>
      </c>
    </row>
    <row r="252" customFormat="false" ht="15" hidden="false" customHeight="false" outlineLevel="0" collapsed="false">
      <c r="A252" s="12" t="s">
        <v>34</v>
      </c>
      <c r="B252" s="7" t="s">
        <v>35</v>
      </c>
      <c r="C252" s="12" t="s">
        <v>88</v>
      </c>
      <c r="D252" s="7" t="s">
        <v>31</v>
      </c>
      <c r="E252" s="7" t="s">
        <v>32</v>
      </c>
      <c r="F252" s="12" t="n">
        <f aca="false">IF(D252=E252,1,0)</f>
        <v>0</v>
      </c>
      <c r="G252" s="13" t="n">
        <v>-0.0517799352750809</v>
      </c>
      <c r="H252" s="14" t="n">
        <v>0.372988800307406</v>
      </c>
      <c r="I252" s="14" t="n">
        <v>0.211644865956783</v>
      </c>
      <c r="J252" s="14" t="n">
        <v>0.415366333735811</v>
      </c>
      <c r="K252" s="12" t="s">
        <v>86</v>
      </c>
      <c r="L252" s="15" t="n">
        <v>1094</v>
      </c>
      <c r="M252" s="15" t="n">
        <v>8</v>
      </c>
    </row>
    <row r="253" customFormat="false" ht="15" hidden="false" customHeight="false" outlineLevel="0" collapsed="false">
      <c r="A253" s="12" t="s">
        <v>36</v>
      </c>
      <c r="B253" s="7" t="s">
        <v>37</v>
      </c>
      <c r="C253" s="12" t="s">
        <v>88</v>
      </c>
      <c r="D253" s="7" t="s">
        <v>31</v>
      </c>
      <c r="E253" s="7" t="s">
        <v>32</v>
      </c>
      <c r="F253" s="12" t="n">
        <f aca="false">IF(D253=E253,1,0)</f>
        <v>0</v>
      </c>
      <c r="G253" s="13" t="n">
        <v>-0.0164948453608247</v>
      </c>
      <c r="H253" s="14" t="n">
        <v>0.334723184794768</v>
      </c>
      <c r="I253" s="14" t="n">
        <v>0.261724004291953</v>
      </c>
      <c r="J253" s="14" t="n">
        <v>0.403552810913279</v>
      </c>
      <c r="K253" s="12" t="s">
        <v>86</v>
      </c>
      <c r="L253" s="15" t="n">
        <v>1094</v>
      </c>
      <c r="M253" s="15" t="n">
        <v>8</v>
      </c>
    </row>
    <row r="254" customFormat="false" ht="15" hidden="false" customHeight="false" outlineLevel="0" collapsed="false">
      <c r="A254" s="12" t="s">
        <v>38</v>
      </c>
      <c r="B254" s="7" t="s">
        <v>39</v>
      </c>
      <c r="C254" s="12" t="s">
        <v>88</v>
      </c>
      <c r="D254" s="7" t="s">
        <v>31</v>
      </c>
      <c r="E254" s="7" t="s">
        <v>32</v>
      </c>
      <c r="F254" s="12" t="n">
        <f aca="false">IF(D254=E254,1,0)</f>
        <v>0</v>
      </c>
      <c r="G254" s="13" t="n">
        <v>-0.0253025302530253</v>
      </c>
      <c r="H254" s="14" t="n">
        <v>0.339700304156156</v>
      </c>
      <c r="I254" s="14" t="n">
        <v>0.221701151817778</v>
      </c>
      <c r="J254" s="14" t="n">
        <v>0.438598544026065</v>
      </c>
      <c r="K254" s="12" t="s">
        <v>86</v>
      </c>
      <c r="L254" s="15" t="n">
        <v>1094</v>
      </c>
      <c r="M254" s="15" t="n">
        <v>8</v>
      </c>
    </row>
    <row r="255" customFormat="false" ht="15" hidden="false" customHeight="false" outlineLevel="0" collapsed="false">
      <c r="A255" s="12" t="s">
        <v>41</v>
      </c>
      <c r="B255" s="7" t="s">
        <v>42</v>
      </c>
      <c r="C255" s="12" t="s">
        <v>88</v>
      </c>
      <c r="D255" s="7" t="s">
        <v>31</v>
      </c>
      <c r="E255" s="7" t="s">
        <v>40</v>
      </c>
      <c r="F255" s="12" t="n">
        <f aca="false">IF(D255=E255,1,0)</f>
        <v>0</v>
      </c>
      <c r="G255" s="13" t="n">
        <v>-0.0042194092827003</v>
      </c>
      <c r="H255" s="14" t="n">
        <v>0.392032213891323</v>
      </c>
      <c r="I255" s="14" t="n">
        <v>0.215185302213558</v>
      </c>
      <c r="J255" s="14" t="n">
        <v>0.392782483895119</v>
      </c>
      <c r="K255" s="12" t="s">
        <v>86</v>
      </c>
      <c r="L255" s="15" t="n">
        <v>1094</v>
      </c>
      <c r="M255" s="15" t="n">
        <v>8</v>
      </c>
    </row>
    <row r="256" customFormat="false" ht="15" hidden="false" customHeight="false" outlineLevel="0" collapsed="false">
      <c r="A256" s="12" t="s">
        <v>43</v>
      </c>
      <c r="B256" s="7" t="s">
        <v>44</v>
      </c>
      <c r="C256" s="12" t="s">
        <v>88</v>
      </c>
      <c r="D256" s="7" t="s">
        <v>31</v>
      </c>
      <c r="E256" s="7" t="s">
        <v>31</v>
      </c>
      <c r="F256" s="12" t="n">
        <f aca="false">IF(D256=E256,1,0)</f>
        <v>1</v>
      </c>
      <c r="G256" s="13" t="n">
        <v>0.028322440087146</v>
      </c>
      <c r="H256" s="14" t="n">
        <v>0.375937531613153</v>
      </c>
      <c r="I256" s="14" t="n">
        <v>0.21262922770251</v>
      </c>
      <c r="J256" s="14" t="n">
        <v>0.411433240684337</v>
      </c>
      <c r="K256" s="12" t="s">
        <v>86</v>
      </c>
      <c r="L256" s="15" t="n">
        <v>1094</v>
      </c>
      <c r="M256" s="15" t="n">
        <v>8</v>
      </c>
    </row>
    <row r="257" customFormat="false" ht="15" hidden="false" customHeight="false" outlineLevel="0" collapsed="false">
      <c r="A257" s="12" t="s">
        <v>28</v>
      </c>
      <c r="B257" s="7" t="s">
        <v>29</v>
      </c>
      <c r="C257" s="12" t="s">
        <v>89</v>
      </c>
      <c r="D257" s="7" t="s">
        <v>31</v>
      </c>
      <c r="E257" s="7" t="s">
        <v>32</v>
      </c>
      <c r="F257" s="12" t="n">
        <f aca="false">IF(D257=E257,1,0)</f>
        <v>0</v>
      </c>
      <c r="G257" s="13" t="n">
        <v>-0.0515463917525773</v>
      </c>
      <c r="H257" s="14" t="n">
        <v>0.339002951110532</v>
      </c>
      <c r="I257" s="14" t="n">
        <v>0.208223319961404</v>
      </c>
      <c r="J257" s="14" t="n">
        <v>0.452773728928064</v>
      </c>
      <c r="K257" s="12" t="s">
        <v>86</v>
      </c>
      <c r="L257" s="15" t="n">
        <v>1094</v>
      </c>
      <c r="M257" s="15" t="n">
        <v>8</v>
      </c>
    </row>
    <row r="258" customFormat="false" ht="15" hidden="false" customHeight="false" outlineLevel="0" collapsed="false">
      <c r="A258" s="12" t="s">
        <v>34</v>
      </c>
      <c r="B258" s="7" t="s">
        <v>35</v>
      </c>
      <c r="C258" s="12" t="s">
        <v>89</v>
      </c>
      <c r="D258" s="7" t="s">
        <v>31</v>
      </c>
      <c r="E258" s="7" t="s">
        <v>32</v>
      </c>
      <c r="F258" s="12" t="n">
        <f aca="false">IF(D258=E258,1,0)</f>
        <v>0</v>
      </c>
      <c r="G258" s="13" t="n">
        <v>-0.0290102389078498</v>
      </c>
      <c r="H258" s="14" t="n">
        <v>0.342700247209065</v>
      </c>
      <c r="I258" s="14" t="n">
        <v>0.237390466110467</v>
      </c>
      <c r="J258" s="14" t="n">
        <v>0.419909286680469</v>
      </c>
      <c r="K258" s="12" t="s">
        <v>86</v>
      </c>
      <c r="L258" s="15" t="n">
        <v>1094</v>
      </c>
      <c r="M258" s="15" t="n">
        <v>8</v>
      </c>
    </row>
    <row r="259" customFormat="false" ht="15" hidden="false" customHeight="false" outlineLevel="0" collapsed="false">
      <c r="A259" s="12" t="s">
        <v>36</v>
      </c>
      <c r="B259" s="7" t="s">
        <v>37</v>
      </c>
      <c r="C259" s="12" t="s">
        <v>89</v>
      </c>
      <c r="D259" s="7" t="s">
        <v>31</v>
      </c>
      <c r="E259" s="7" t="s">
        <v>32</v>
      </c>
      <c r="F259" s="12" t="n">
        <f aca="false">IF(D259=E259,1,0)</f>
        <v>0</v>
      </c>
      <c r="G259" s="13" t="n">
        <v>-0.0083857442348008</v>
      </c>
      <c r="H259" s="14" t="n">
        <v>0.335503101628319</v>
      </c>
      <c r="I259" s="14" t="n">
        <v>0.261093360903308</v>
      </c>
      <c r="J259" s="14" t="n">
        <v>0.403403537468374</v>
      </c>
      <c r="K259" s="12" t="s">
        <v>86</v>
      </c>
      <c r="L259" s="15" t="n">
        <v>1094</v>
      </c>
      <c r="M259" s="15" t="n">
        <v>8</v>
      </c>
    </row>
    <row r="260" customFormat="false" ht="15" hidden="false" customHeight="false" outlineLevel="0" collapsed="false">
      <c r="A260" s="12" t="s">
        <v>38</v>
      </c>
      <c r="B260" s="7" t="s">
        <v>39</v>
      </c>
      <c r="C260" s="12" t="s">
        <v>89</v>
      </c>
      <c r="D260" s="7" t="s">
        <v>31</v>
      </c>
      <c r="E260" s="7" t="s">
        <v>32</v>
      </c>
      <c r="F260" s="12" t="n">
        <f aca="false">IF(D260=E260,1,0)</f>
        <v>0</v>
      </c>
      <c r="G260" s="13" t="n">
        <v>-0.0293453724604966</v>
      </c>
      <c r="H260" s="14" t="n">
        <v>0.351641246250048</v>
      </c>
      <c r="I260" s="14" t="n">
        <v>0.191951147227959</v>
      </c>
      <c r="J260" s="14" t="n">
        <v>0.456407606521994</v>
      </c>
      <c r="K260" s="12" t="s">
        <v>86</v>
      </c>
      <c r="L260" s="15" t="n">
        <v>1094</v>
      </c>
      <c r="M260" s="15" t="n">
        <v>8</v>
      </c>
    </row>
    <row r="261" customFormat="false" ht="15" hidden="false" customHeight="false" outlineLevel="0" collapsed="false">
      <c r="A261" s="12" t="s">
        <v>41</v>
      </c>
      <c r="B261" s="7" t="s">
        <v>42</v>
      </c>
      <c r="C261" s="12" t="s">
        <v>89</v>
      </c>
      <c r="D261" s="7" t="s">
        <v>31</v>
      </c>
      <c r="E261" s="7" t="s">
        <v>32</v>
      </c>
      <c r="F261" s="12" t="n">
        <f aca="false">IF(D261=E261,1,0)</f>
        <v>0</v>
      </c>
      <c r="G261" s="13" t="n">
        <v>-0.0169491525423728</v>
      </c>
      <c r="H261" s="14" t="n">
        <v>0.378226886831558</v>
      </c>
      <c r="I261" s="14" t="n">
        <v>0.235960239624887</v>
      </c>
      <c r="J261" s="14" t="n">
        <v>0.385812873543555</v>
      </c>
      <c r="K261" s="12" t="s">
        <v>86</v>
      </c>
      <c r="L261" s="15" t="n">
        <v>1094</v>
      </c>
      <c r="M261" s="15" t="n">
        <v>8</v>
      </c>
    </row>
    <row r="262" customFormat="false" ht="15" hidden="false" customHeight="false" outlineLevel="0" collapsed="false">
      <c r="A262" s="12" t="s">
        <v>43</v>
      </c>
      <c r="B262" s="7" t="s">
        <v>44</v>
      </c>
      <c r="C262" s="12" t="s">
        <v>89</v>
      </c>
      <c r="D262" s="7" t="s">
        <v>31</v>
      </c>
      <c r="E262" s="7" t="s">
        <v>31</v>
      </c>
      <c r="F262" s="12" t="n">
        <f aca="false">IF(D262=E262,1,0)</f>
        <v>1</v>
      </c>
      <c r="G262" s="13" t="n">
        <v>0.0593220338983049</v>
      </c>
      <c r="H262" s="14" t="n">
        <v>0.37094806854247</v>
      </c>
      <c r="I262" s="14" t="n">
        <v>0.209807201195028</v>
      </c>
      <c r="J262" s="14" t="n">
        <v>0.419244730262502</v>
      </c>
      <c r="K262" s="12" t="s">
        <v>86</v>
      </c>
      <c r="L262" s="15" t="n">
        <v>1094</v>
      </c>
      <c r="M262" s="15" t="n">
        <v>8</v>
      </c>
    </row>
    <row r="263" customFormat="false" ht="15" hidden="false" customHeight="false" outlineLevel="0" collapsed="false">
      <c r="A263" s="12" t="s">
        <v>28</v>
      </c>
      <c r="B263" s="7" t="s">
        <v>29</v>
      </c>
      <c r="C263" s="12" t="s">
        <v>90</v>
      </c>
      <c r="D263" s="7" t="s">
        <v>31</v>
      </c>
      <c r="E263" s="7" t="s">
        <v>32</v>
      </c>
      <c r="F263" s="12" t="n">
        <f aca="false">IF(D263=E263,1,0)</f>
        <v>0</v>
      </c>
      <c r="G263" s="13" t="n">
        <v>-0.0195652173913043</v>
      </c>
      <c r="H263" s="14" t="n">
        <v>0.351150048517801</v>
      </c>
      <c r="I263" s="14" t="n">
        <v>0.185384250713011</v>
      </c>
      <c r="J263" s="14" t="n">
        <v>0.463465700769188</v>
      </c>
      <c r="K263" s="12" t="s">
        <v>86</v>
      </c>
      <c r="L263" s="15" t="n">
        <v>1094</v>
      </c>
      <c r="M263" s="15" t="n">
        <v>8</v>
      </c>
    </row>
    <row r="264" customFormat="false" ht="15" hidden="false" customHeight="false" outlineLevel="0" collapsed="false">
      <c r="A264" s="12" t="s">
        <v>34</v>
      </c>
      <c r="B264" s="7" t="s">
        <v>35</v>
      </c>
      <c r="C264" s="12" t="s">
        <v>90</v>
      </c>
      <c r="D264" s="7" t="s">
        <v>31</v>
      </c>
      <c r="E264" s="7" t="s">
        <v>32</v>
      </c>
      <c r="F264" s="12" t="n">
        <f aca="false">IF(D264=E264,1,0)</f>
        <v>0</v>
      </c>
      <c r="G264" s="13" t="n">
        <v>-0.0527240773286467</v>
      </c>
      <c r="H264" s="14" t="n">
        <v>0.354399240277582</v>
      </c>
      <c r="I264" s="14" t="n">
        <v>0.208189782940125</v>
      </c>
      <c r="J264" s="14" t="n">
        <v>0.437410976782293</v>
      </c>
      <c r="K264" s="12" t="s">
        <v>86</v>
      </c>
      <c r="L264" s="15" t="n">
        <v>1094</v>
      </c>
      <c r="M264" s="15" t="n">
        <v>8</v>
      </c>
    </row>
    <row r="265" customFormat="false" ht="15" hidden="false" customHeight="false" outlineLevel="0" collapsed="false">
      <c r="A265" s="12" t="s">
        <v>36</v>
      </c>
      <c r="B265" s="7" t="s">
        <v>37</v>
      </c>
      <c r="C265" s="12" t="s">
        <v>90</v>
      </c>
      <c r="D265" s="7" t="s">
        <v>31</v>
      </c>
      <c r="E265" s="7" t="s">
        <v>32</v>
      </c>
      <c r="F265" s="12" t="n">
        <f aca="false">IF(D265=E265,1,0)</f>
        <v>0</v>
      </c>
      <c r="G265" s="13" t="n">
        <v>-0.0295983086680761</v>
      </c>
      <c r="H265" s="14" t="n">
        <v>0.367143554144262</v>
      </c>
      <c r="I265" s="14" t="n">
        <v>0.211117635441216</v>
      </c>
      <c r="J265" s="14" t="n">
        <v>0.421738810414522</v>
      </c>
      <c r="K265" s="12" t="s">
        <v>86</v>
      </c>
      <c r="L265" s="15" t="n">
        <v>1094</v>
      </c>
      <c r="M265" s="15" t="n">
        <v>8</v>
      </c>
    </row>
    <row r="266" customFormat="false" ht="15" hidden="false" customHeight="false" outlineLevel="0" collapsed="false">
      <c r="A266" s="12" t="s">
        <v>38</v>
      </c>
      <c r="B266" s="7" t="s">
        <v>39</v>
      </c>
      <c r="C266" s="12" t="s">
        <v>90</v>
      </c>
      <c r="D266" s="7" t="s">
        <v>31</v>
      </c>
      <c r="E266" s="7" t="s">
        <v>32</v>
      </c>
      <c r="F266" s="12" t="n">
        <f aca="false">IF(D266=E266,1,0)</f>
        <v>0</v>
      </c>
      <c r="G266" s="13" t="n">
        <v>-0.0534883720930232</v>
      </c>
      <c r="H266" s="14" t="n">
        <v>0.364392086247346</v>
      </c>
      <c r="I266" s="14" t="n">
        <v>0.19035966717962</v>
      </c>
      <c r="J266" s="14" t="n">
        <v>0.445248246573034</v>
      </c>
      <c r="K266" s="12" t="s">
        <v>86</v>
      </c>
      <c r="L266" s="15" t="n">
        <v>1094</v>
      </c>
      <c r="M266" s="15" t="n">
        <v>8</v>
      </c>
    </row>
    <row r="267" customFormat="false" ht="15" hidden="false" customHeight="false" outlineLevel="0" collapsed="false">
      <c r="A267" s="12" t="s">
        <v>41</v>
      </c>
      <c r="B267" s="7" t="s">
        <v>42</v>
      </c>
      <c r="C267" s="12" t="s">
        <v>90</v>
      </c>
      <c r="D267" s="7" t="s">
        <v>31</v>
      </c>
      <c r="E267" s="7" t="s">
        <v>32</v>
      </c>
      <c r="F267" s="12" t="n">
        <f aca="false">IF(D267=E267,1,0)</f>
        <v>0</v>
      </c>
      <c r="G267" s="13" t="n">
        <v>-0.0344827586206896</v>
      </c>
      <c r="H267" s="14" t="n">
        <v>0.367363944774958</v>
      </c>
      <c r="I267" s="14" t="n">
        <v>0.235275970591114</v>
      </c>
      <c r="J267" s="14" t="n">
        <v>0.397360084633928</v>
      </c>
      <c r="K267" s="12" t="s">
        <v>86</v>
      </c>
      <c r="L267" s="15" t="n">
        <v>1094</v>
      </c>
      <c r="M267" s="15" t="n">
        <v>8</v>
      </c>
    </row>
    <row r="268" customFormat="false" ht="15" hidden="false" customHeight="false" outlineLevel="0" collapsed="false">
      <c r="A268" s="12" t="s">
        <v>43</v>
      </c>
      <c r="B268" s="7" t="s">
        <v>44</v>
      </c>
      <c r="C268" s="12" t="s">
        <v>90</v>
      </c>
      <c r="D268" s="7" t="s">
        <v>31</v>
      </c>
      <c r="E268" s="7" t="s">
        <v>32</v>
      </c>
      <c r="F268" s="12" t="n">
        <f aca="false">IF(D268=E268,1,0)</f>
        <v>0</v>
      </c>
      <c r="G268" s="13" t="n">
        <v>-0.05</v>
      </c>
      <c r="H268" s="14" t="n">
        <v>0.398922546504729</v>
      </c>
      <c r="I268" s="14" t="n">
        <v>0.200956185965389</v>
      </c>
      <c r="J268" s="14" t="n">
        <v>0.400121267529882</v>
      </c>
      <c r="K268" s="12" t="s">
        <v>86</v>
      </c>
      <c r="L268" s="15" t="n">
        <v>1094</v>
      </c>
      <c r="M268" s="15" t="n">
        <v>8</v>
      </c>
    </row>
    <row r="269" customFormat="false" ht="15" hidden="false" customHeight="false" outlineLevel="0" collapsed="false">
      <c r="A269" s="12" t="s">
        <v>28</v>
      </c>
      <c r="B269" s="7" t="s">
        <v>29</v>
      </c>
      <c r="C269" s="12" t="s">
        <v>91</v>
      </c>
      <c r="D269" s="7" t="s">
        <v>31</v>
      </c>
      <c r="E269" s="7" t="s">
        <v>31</v>
      </c>
      <c r="F269" s="12" t="n">
        <f aca="false">IF(D269=E269,1,0)</f>
        <v>1</v>
      </c>
      <c r="G269" s="13" t="n">
        <v>0.0709534368070954</v>
      </c>
      <c r="H269" s="14" t="n">
        <v>0.340122325977478</v>
      </c>
      <c r="I269" s="14" t="n">
        <v>0.208572339770435</v>
      </c>
      <c r="J269" s="14" t="n">
        <v>0.451305334252087</v>
      </c>
      <c r="K269" s="12" t="s">
        <v>86</v>
      </c>
      <c r="L269" s="15" t="n">
        <v>1094</v>
      </c>
      <c r="M269" s="15" t="n">
        <v>8</v>
      </c>
    </row>
    <row r="270" customFormat="false" ht="15" hidden="false" customHeight="false" outlineLevel="0" collapsed="false">
      <c r="A270" s="12" t="s">
        <v>34</v>
      </c>
      <c r="B270" s="7" t="s">
        <v>35</v>
      </c>
      <c r="C270" s="12" t="s">
        <v>91</v>
      </c>
      <c r="D270" s="7" t="s">
        <v>31</v>
      </c>
      <c r="E270" s="7" t="s">
        <v>31</v>
      </c>
      <c r="F270" s="12" t="n">
        <f aca="false">IF(D270=E270,1,0)</f>
        <v>1</v>
      </c>
      <c r="G270" s="13" t="n">
        <v>0.0296846011131726</v>
      </c>
      <c r="H270" s="14" t="n">
        <v>0.377157641799624</v>
      </c>
      <c r="I270" s="14" t="n">
        <v>0.228493035717797</v>
      </c>
      <c r="J270" s="14" t="n">
        <v>0.394349322482579</v>
      </c>
      <c r="K270" s="12" t="s">
        <v>86</v>
      </c>
      <c r="L270" s="15" t="n">
        <v>1094</v>
      </c>
      <c r="M270" s="15" t="n">
        <v>8</v>
      </c>
    </row>
    <row r="271" customFormat="false" ht="15" hidden="false" customHeight="false" outlineLevel="0" collapsed="false">
      <c r="A271" s="12" t="s">
        <v>36</v>
      </c>
      <c r="B271" s="7" t="s">
        <v>37</v>
      </c>
      <c r="C271" s="12" t="s">
        <v>91</v>
      </c>
      <c r="D271" s="7" t="s">
        <v>31</v>
      </c>
      <c r="E271" s="7" t="s">
        <v>40</v>
      </c>
      <c r="F271" s="12" t="n">
        <f aca="false">IF(D271=E271,1,0)</f>
        <v>0</v>
      </c>
      <c r="G271" s="13" t="n">
        <v>0.0043572984749455</v>
      </c>
      <c r="H271" s="14" t="n">
        <v>0.368233627118449</v>
      </c>
      <c r="I271" s="14" t="n">
        <v>0.217292025244049</v>
      </c>
      <c r="J271" s="14" t="n">
        <v>0.414474347637503</v>
      </c>
      <c r="K271" s="12" t="s">
        <v>86</v>
      </c>
      <c r="L271" s="15" t="n">
        <v>1094</v>
      </c>
      <c r="M271" s="15" t="n">
        <v>8</v>
      </c>
    </row>
    <row r="272" customFormat="false" ht="15" hidden="false" customHeight="false" outlineLevel="0" collapsed="false">
      <c r="A272" s="12" t="s">
        <v>38</v>
      </c>
      <c r="B272" s="7" t="s">
        <v>39</v>
      </c>
      <c r="C272" s="12" t="s">
        <v>91</v>
      </c>
      <c r="D272" s="7" t="s">
        <v>31</v>
      </c>
      <c r="E272" s="7" t="s">
        <v>31</v>
      </c>
      <c r="F272" s="12" t="n">
        <f aca="false">IF(D272=E272,1,0)</f>
        <v>1</v>
      </c>
      <c r="G272" s="13" t="n">
        <v>0.0995085995085995</v>
      </c>
      <c r="H272" s="14" t="n">
        <v>0.341211281499959</v>
      </c>
      <c r="I272" s="14" t="n">
        <v>0.205842002737545</v>
      </c>
      <c r="J272" s="14" t="n">
        <v>0.452946715762495</v>
      </c>
      <c r="K272" s="12" t="s">
        <v>86</v>
      </c>
      <c r="L272" s="15" t="n">
        <v>1094</v>
      </c>
      <c r="M272" s="15" t="n">
        <v>8</v>
      </c>
    </row>
    <row r="273" customFormat="false" ht="15" hidden="false" customHeight="false" outlineLevel="0" collapsed="false">
      <c r="A273" s="12" t="s">
        <v>41</v>
      </c>
      <c r="B273" s="7" t="s">
        <v>42</v>
      </c>
      <c r="C273" s="12" t="s">
        <v>91</v>
      </c>
      <c r="D273" s="7" t="s">
        <v>31</v>
      </c>
      <c r="E273" s="7" t="s">
        <v>32</v>
      </c>
      <c r="F273" s="12" t="n">
        <f aca="false">IF(D273=E273,1,0)</f>
        <v>0</v>
      </c>
      <c r="G273" s="13" t="n">
        <v>-0.0089285714285713</v>
      </c>
      <c r="H273" s="14" t="n">
        <v>0.360635016455567</v>
      </c>
      <c r="I273" s="14" t="n">
        <v>0.236124886938303</v>
      </c>
      <c r="J273" s="14" t="n">
        <v>0.40324009660613</v>
      </c>
      <c r="K273" s="12" t="s">
        <v>86</v>
      </c>
      <c r="L273" s="15" t="n">
        <v>1094</v>
      </c>
      <c r="M273" s="15" t="n">
        <v>8</v>
      </c>
    </row>
    <row r="274" customFormat="false" ht="15" hidden="false" customHeight="false" outlineLevel="0" collapsed="false">
      <c r="A274" s="12" t="s">
        <v>43</v>
      </c>
      <c r="B274" s="7" t="s">
        <v>44</v>
      </c>
      <c r="C274" s="12" t="s">
        <v>91</v>
      </c>
      <c r="D274" s="7" t="s">
        <v>31</v>
      </c>
      <c r="E274" s="7" t="s">
        <v>31</v>
      </c>
      <c r="F274" s="12" t="n">
        <f aca="false">IF(D274=E274,1,0)</f>
        <v>1</v>
      </c>
      <c r="G274" s="13" t="n">
        <v>0.0947368421052632</v>
      </c>
      <c r="H274" s="14" t="n">
        <v>0.354363746553191</v>
      </c>
      <c r="I274" s="14" t="n">
        <v>0.22083819392036</v>
      </c>
      <c r="J274" s="14" t="n">
        <v>0.424798059526449</v>
      </c>
      <c r="K274" s="12" t="s">
        <v>86</v>
      </c>
      <c r="L274" s="15" t="n">
        <v>1094</v>
      </c>
      <c r="M274" s="15" t="n">
        <v>8</v>
      </c>
    </row>
    <row r="275" customFormat="false" ht="15" hidden="false" customHeight="false" outlineLevel="0" collapsed="false">
      <c r="A275" s="12" t="s">
        <v>28</v>
      </c>
      <c r="B275" s="7" t="s">
        <v>29</v>
      </c>
      <c r="C275" s="12" t="s">
        <v>92</v>
      </c>
      <c r="D275" s="7" t="s">
        <v>31</v>
      </c>
      <c r="E275" s="7" t="s">
        <v>32</v>
      </c>
      <c r="F275" s="12" t="n">
        <f aca="false">IF(D275=E275,1,0)</f>
        <v>0</v>
      </c>
      <c r="G275" s="13" t="n">
        <v>-0.0890269151138716</v>
      </c>
      <c r="H275" s="14" t="n">
        <v>0.339136304522594</v>
      </c>
      <c r="I275" s="14" t="n">
        <v>0.204878177144212</v>
      </c>
      <c r="J275" s="14" t="n">
        <v>0.455985518333193</v>
      </c>
      <c r="K275" s="12" t="s">
        <v>86</v>
      </c>
      <c r="L275" s="15" t="n">
        <v>1094</v>
      </c>
      <c r="M275" s="15" t="n">
        <v>8</v>
      </c>
    </row>
    <row r="276" customFormat="false" ht="15" hidden="false" customHeight="false" outlineLevel="0" collapsed="false">
      <c r="A276" s="12" t="s">
        <v>34</v>
      </c>
      <c r="B276" s="7" t="s">
        <v>35</v>
      </c>
      <c r="C276" s="12" t="s">
        <v>92</v>
      </c>
      <c r="D276" s="7" t="s">
        <v>31</v>
      </c>
      <c r="E276" s="7" t="s">
        <v>32</v>
      </c>
      <c r="F276" s="12" t="n">
        <f aca="false">IF(D276=E276,1,0)</f>
        <v>0</v>
      </c>
      <c r="G276" s="13" t="n">
        <v>-0.0522522522522522</v>
      </c>
      <c r="H276" s="14" t="n">
        <v>0.338629134599084</v>
      </c>
      <c r="I276" s="14" t="n">
        <v>0.206601117121207</v>
      </c>
      <c r="J276" s="14" t="n">
        <v>0.454769748279708</v>
      </c>
      <c r="K276" s="12" t="s">
        <v>86</v>
      </c>
      <c r="L276" s="15" t="n">
        <v>1094</v>
      </c>
      <c r="M276" s="15" t="n">
        <v>8</v>
      </c>
    </row>
    <row r="277" customFormat="false" ht="15" hidden="false" customHeight="false" outlineLevel="0" collapsed="false">
      <c r="A277" s="12" t="s">
        <v>36</v>
      </c>
      <c r="B277" s="7" t="s">
        <v>37</v>
      </c>
      <c r="C277" s="12" t="s">
        <v>92</v>
      </c>
      <c r="D277" s="7" t="s">
        <v>31</v>
      </c>
      <c r="E277" s="7" t="s">
        <v>32</v>
      </c>
      <c r="F277" s="12" t="n">
        <f aca="false">IF(D277=E277,1,0)</f>
        <v>0</v>
      </c>
      <c r="G277" s="13" t="n">
        <v>-0.0216919739696311</v>
      </c>
      <c r="H277" s="14" t="n">
        <v>0.359074730646833</v>
      </c>
      <c r="I277" s="14" t="n">
        <v>0.218171215128881</v>
      </c>
      <c r="J277" s="14" t="n">
        <v>0.422754054224285</v>
      </c>
      <c r="K277" s="12" t="s">
        <v>86</v>
      </c>
      <c r="L277" s="15" t="n">
        <v>1094</v>
      </c>
      <c r="M277" s="15" t="n">
        <v>8</v>
      </c>
    </row>
    <row r="278" customFormat="false" ht="15" hidden="false" customHeight="false" outlineLevel="0" collapsed="false">
      <c r="A278" s="12" t="s">
        <v>38</v>
      </c>
      <c r="B278" s="7" t="s">
        <v>39</v>
      </c>
      <c r="C278" s="12" t="s">
        <v>92</v>
      </c>
      <c r="D278" s="7" t="s">
        <v>31</v>
      </c>
      <c r="E278" s="7" t="s">
        <v>32</v>
      </c>
      <c r="F278" s="12" t="n">
        <f aca="false">IF(D278=E278,1,0)</f>
        <v>0</v>
      </c>
      <c r="G278" s="13" t="n">
        <v>-0.0715083798882681</v>
      </c>
      <c r="H278" s="14" t="n">
        <v>0.339647842013423</v>
      </c>
      <c r="I278" s="14" t="n">
        <v>0.212389903472326</v>
      </c>
      <c r="J278" s="14" t="n">
        <v>0.44796225451425</v>
      </c>
      <c r="K278" s="12" t="s">
        <v>86</v>
      </c>
      <c r="L278" s="15" t="n">
        <v>1094</v>
      </c>
      <c r="M278" s="15" t="n">
        <v>8</v>
      </c>
    </row>
    <row r="279" customFormat="false" ht="15" hidden="false" customHeight="false" outlineLevel="0" collapsed="false">
      <c r="A279" s="12" t="s">
        <v>41</v>
      </c>
      <c r="B279" s="7" t="s">
        <v>42</v>
      </c>
      <c r="C279" s="12" t="s">
        <v>92</v>
      </c>
      <c r="D279" s="7" t="s">
        <v>31</v>
      </c>
      <c r="E279" s="7" t="s">
        <v>40</v>
      </c>
      <c r="F279" s="12" t="n">
        <f aca="false">IF(D279=E279,1,0)</f>
        <v>0</v>
      </c>
      <c r="G279" s="13" t="n">
        <v>0.0045045045045044</v>
      </c>
      <c r="H279" s="14" t="n">
        <v>0.352386744912757</v>
      </c>
      <c r="I279" s="14" t="n">
        <v>0.221821447888831</v>
      </c>
      <c r="J279" s="14" t="n">
        <v>0.425791807198413</v>
      </c>
      <c r="K279" s="12" t="s">
        <v>86</v>
      </c>
      <c r="L279" s="15" t="n">
        <v>1094</v>
      </c>
      <c r="M279" s="15" t="n">
        <v>8</v>
      </c>
    </row>
    <row r="280" customFormat="false" ht="15" hidden="false" customHeight="false" outlineLevel="0" collapsed="false">
      <c r="A280" s="12" t="s">
        <v>43</v>
      </c>
      <c r="B280" s="7" t="s">
        <v>44</v>
      </c>
      <c r="C280" s="12" t="s">
        <v>92</v>
      </c>
      <c r="D280" s="7" t="s">
        <v>31</v>
      </c>
      <c r="E280" s="7" t="s">
        <v>32</v>
      </c>
      <c r="F280" s="12" t="n">
        <f aca="false">IF(D280=E280,1,0)</f>
        <v>0</v>
      </c>
      <c r="G280" s="13" t="n">
        <v>-0.0394230769230768</v>
      </c>
      <c r="H280" s="14" t="n">
        <v>0.357824865350889</v>
      </c>
      <c r="I280" s="14" t="n">
        <v>0.24435984625143</v>
      </c>
      <c r="J280" s="14" t="n">
        <v>0.397815288397681</v>
      </c>
      <c r="K280" s="12" t="s">
        <v>86</v>
      </c>
      <c r="L280" s="15" t="n">
        <v>1094</v>
      </c>
      <c r="M280" s="15" t="n">
        <v>8</v>
      </c>
    </row>
    <row r="281" customFormat="false" ht="15" hidden="false" customHeight="false" outlineLevel="0" collapsed="false">
      <c r="A281" s="12" t="s">
        <v>28</v>
      </c>
      <c r="B281" s="7" t="s">
        <v>29</v>
      </c>
      <c r="C281" s="12" t="s">
        <v>93</v>
      </c>
      <c r="D281" s="7" t="s">
        <v>31</v>
      </c>
      <c r="E281" s="7" t="s">
        <v>32</v>
      </c>
      <c r="F281" s="12" t="n">
        <f aca="false">IF(D281=E281,1,0)</f>
        <v>0</v>
      </c>
      <c r="G281" s="13" t="n">
        <v>-0.0181818181818181</v>
      </c>
      <c r="H281" s="14" t="n">
        <v>0.346410502134486</v>
      </c>
      <c r="I281" s="14" t="n">
        <v>0.191430842054645</v>
      </c>
      <c r="J281" s="14" t="n">
        <v>0.462158655810869</v>
      </c>
      <c r="K281" s="12" t="s">
        <v>86</v>
      </c>
      <c r="L281" s="15" t="n">
        <v>1094</v>
      </c>
      <c r="M281" s="15" t="n">
        <v>8</v>
      </c>
    </row>
    <row r="282" customFormat="false" ht="15" hidden="false" customHeight="false" outlineLevel="0" collapsed="false">
      <c r="A282" s="12" t="s">
        <v>34</v>
      </c>
      <c r="B282" s="7" t="s">
        <v>35</v>
      </c>
      <c r="C282" s="12" t="s">
        <v>93</v>
      </c>
      <c r="D282" s="7" t="s">
        <v>31</v>
      </c>
      <c r="E282" s="7" t="s">
        <v>32</v>
      </c>
      <c r="F282" s="12" t="n">
        <f aca="false">IF(D282=E282,1,0)</f>
        <v>0</v>
      </c>
      <c r="G282" s="13" t="n">
        <v>-0.0171102661596957</v>
      </c>
      <c r="H282" s="14" t="n">
        <v>0.350467931641556</v>
      </c>
      <c r="I282" s="14" t="n">
        <v>0.190879191103755</v>
      </c>
      <c r="J282" s="14" t="n">
        <v>0.458652877254688</v>
      </c>
      <c r="K282" s="12" t="s">
        <v>86</v>
      </c>
      <c r="L282" s="15" t="n">
        <v>1094</v>
      </c>
      <c r="M282" s="15" t="n">
        <v>8</v>
      </c>
    </row>
    <row r="283" customFormat="false" ht="15" hidden="false" customHeight="false" outlineLevel="0" collapsed="false">
      <c r="A283" s="12" t="s">
        <v>36</v>
      </c>
      <c r="B283" s="7" t="s">
        <v>37</v>
      </c>
      <c r="C283" s="12" t="s">
        <v>93</v>
      </c>
      <c r="D283" s="7" t="s">
        <v>31</v>
      </c>
      <c r="E283" s="7" t="s">
        <v>40</v>
      </c>
      <c r="F283" s="12" t="n">
        <f aca="false">IF(D283=E283,1,0)</f>
        <v>0</v>
      </c>
      <c r="G283" s="13" t="n">
        <v>-0.0022172949002217</v>
      </c>
      <c r="H283" s="14" t="n">
        <v>0.39006100015157</v>
      </c>
      <c r="I283" s="14" t="n">
        <v>0.185590503453871</v>
      </c>
      <c r="J283" s="14" t="n">
        <v>0.424348496394559</v>
      </c>
      <c r="K283" s="12" t="s">
        <v>86</v>
      </c>
      <c r="L283" s="15" t="n">
        <v>1094</v>
      </c>
      <c r="M283" s="15" t="n">
        <v>8</v>
      </c>
    </row>
    <row r="284" customFormat="false" ht="15" hidden="false" customHeight="false" outlineLevel="0" collapsed="false">
      <c r="A284" s="12" t="s">
        <v>38</v>
      </c>
      <c r="B284" s="7" t="s">
        <v>39</v>
      </c>
      <c r="C284" s="12" t="s">
        <v>93</v>
      </c>
      <c r="D284" s="7" t="s">
        <v>31</v>
      </c>
      <c r="E284" s="7" t="s">
        <v>32</v>
      </c>
      <c r="F284" s="12" t="n">
        <f aca="false">IF(D284=E284,1,0)</f>
        <v>0</v>
      </c>
      <c r="G284" s="13" t="n">
        <v>-0.0168471720818291</v>
      </c>
      <c r="H284" s="14" t="n">
        <v>0.340615860131163</v>
      </c>
      <c r="I284" s="14" t="n">
        <v>0.191202134658489</v>
      </c>
      <c r="J284" s="14" t="n">
        <v>0.468182005210349</v>
      </c>
      <c r="K284" s="12" t="s">
        <v>86</v>
      </c>
      <c r="L284" s="15" t="n">
        <v>1094</v>
      </c>
      <c r="M284" s="15" t="n">
        <v>8</v>
      </c>
    </row>
    <row r="285" customFormat="false" ht="15" hidden="false" customHeight="false" outlineLevel="0" collapsed="false">
      <c r="A285" s="12" t="s">
        <v>41</v>
      </c>
      <c r="B285" s="7" t="s">
        <v>42</v>
      </c>
      <c r="C285" s="12" t="s">
        <v>93</v>
      </c>
      <c r="D285" s="7" t="s">
        <v>31</v>
      </c>
      <c r="E285" s="7" t="s">
        <v>31</v>
      </c>
      <c r="F285" s="12" t="n">
        <f aca="false">IF(D285=E285,1,0)</f>
        <v>1</v>
      </c>
      <c r="G285" s="13" t="n">
        <v>0.0134529147982063</v>
      </c>
      <c r="H285" s="14" t="n">
        <v>0.390952797330365</v>
      </c>
      <c r="I285" s="14" t="n">
        <v>0.195962412005558</v>
      </c>
      <c r="J285" s="14" t="n">
        <v>0.413084790664077</v>
      </c>
      <c r="K285" s="12" t="s">
        <v>86</v>
      </c>
      <c r="L285" s="15" t="n">
        <v>1094</v>
      </c>
      <c r="M285" s="15" t="n">
        <v>8</v>
      </c>
    </row>
    <row r="286" customFormat="false" ht="15" hidden="false" customHeight="false" outlineLevel="0" collapsed="false">
      <c r="A286" s="12" t="s">
        <v>43</v>
      </c>
      <c r="B286" s="7" t="s">
        <v>44</v>
      </c>
      <c r="C286" s="12" t="s">
        <v>93</v>
      </c>
      <c r="D286" s="7" t="s">
        <v>31</v>
      </c>
      <c r="E286" s="7" t="s">
        <v>31</v>
      </c>
      <c r="F286" s="12" t="n">
        <f aca="false">IF(D286=E286,1,0)</f>
        <v>1</v>
      </c>
      <c r="G286" s="13" t="n">
        <v>0.0060060060060058</v>
      </c>
      <c r="H286" s="14" t="n">
        <v>0.356511798801371</v>
      </c>
      <c r="I286" s="14" t="n">
        <v>0.222615726577497</v>
      </c>
      <c r="J286" s="14" t="n">
        <v>0.420872474621132</v>
      </c>
      <c r="K286" s="12" t="s">
        <v>86</v>
      </c>
      <c r="L286" s="15" t="n">
        <v>1094</v>
      </c>
      <c r="M286" s="15" t="n">
        <v>8</v>
      </c>
    </row>
    <row r="287" customFormat="false" ht="15" hidden="false" customHeight="false" outlineLevel="0" collapsed="false">
      <c r="A287" s="12" t="s">
        <v>28</v>
      </c>
      <c r="B287" s="7" t="s">
        <v>29</v>
      </c>
      <c r="C287" s="12" t="s">
        <v>94</v>
      </c>
      <c r="D287" s="7" t="s">
        <v>31</v>
      </c>
      <c r="E287" s="7" t="s">
        <v>31</v>
      </c>
      <c r="F287" s="12" t="n">
        <f aca="false">IF(D287=E287,1,0)</f>
        <v>1</v>
      </c>
      <c r="G287" s="13" t="n">
        <v>0.025462962962963</v>
      </c>
      <c r="H287" s="14" t="n">
        <v>0.358809412649659</v>
      </c>
      <c r="I287" s="14" t="n">
        <v>0.187136099272882</v>
      </c>
      <c r="J287" s="14" t="n">
        <v>0.454054488077459</v>
      </c>
      <c r="K287" s="12" t="s">
        <v>86</v>
      </c>
      <c r="L287" s="15" t="n">
        <v>1094</v>
      </c>
      <c r="M287" s="15" t="n">
        <v>8</v>
      </c>
    </row>
    <row r="288" customFormat="false" ht="15" hidden="false" customHeight="false" outlineLevel="0" collapsed="false">
      <c r="A288" s="12" t="s">
        <v>34</v>
      </c>
      <c r="B288" s="7" t="s">
        <v>35</v>
      </c>
      <c r="C288" s="12" t="s">
        <v>94</v>
      </c>
      <c r="D288" s="7" t="s">
        <v>31</v>
      </c>
      <c r="E288" s="7" t="s">
        <v>31</v>
      </c>
      <c r="F288" s="12" t="n">
        <f aca="false">IF(D288=E288,1,0)</f>
        <v>1</v>
      </c>
      <c r="G288" s="13" t="n">
        <v>0.0077369439071566</v>
      </c>
      <c r="H288" s="14" t="n">
        <v>0.361173052335335</v>
      </c>
      <c r="I288" s="14" t="n">
        <v>0.190499549382604</v>
      </c>
      <c r="J288" s="14" t="n">
        <v>0.448327398282061</v>
      </c>
      <c r="K288" s="12" t="s">
        <v>86</v>
      </c>
      <c r="L288" s="15" t="n">
        <v>1094</v>
      </c>
      <c r="M288" s="15" t="n">
        <v>8</v>
      </c>
    </row>
    <row r="289" customFormat="false" ht="15" hidden="false" customHeight="false" outlineLevel="0" collapsed="false">
      <c r="A289" s="12" t="s">
        <v>36</v>
      </c>
      <c r="B289" s="7" t="s">
        <v>37</v>
      </c>
      <c r="C289" s="12" t="s">
        <v>94</v>
      </c>
      <c r="D289" s="7" t="s">
        <v>31</v>
      </c>
      <c r="E289" s="7" t="s">
        <v>31</v>
      </c>
      <c r="F289" s="12" t="n">
        <f aca="false">IF(D289=E289,1,0)</f>
        <v>1</v>
      </c>
      <c r="G289" s="13" t="n">
        <v>0.0266666666666666</v>
      </c>
      <c r="H289" s="14" t="n">
        <v>0.400788851469224</v>
      </c>
      <c r="I289" s="14" t="n">
        <v>0.188589843934427</v>
      </c>
      <c r="J289" s="14" t="n">
        <v>0.410621304596349</v>
      </c>
      <c r="K289" s="12" t="s">
        <v>86</v>
      </c>
      <c r="L289" s="15" t="n">
        <v>1094</v>
      </c>
      <c r="M289" s="15" t="n">
        <v>8</v>
      </c>
    </row>
    <row r="290" customFormat="false" ht="15" hidden="false" customHeight="false" outlineLevel="0" collapsed="false">
      <c r="A290" s="12" t="s">
        <v>38</v>
      </c>
      <c r="B290" s="7" t="s">
        <v>39</v>
      </c>
      <c r="C290" s="12" t="s">
        <v>94</v>
      </c>
      <c r="D290" s="7" t="s">
        <v>31</v>
      </c>
      <c r="E290" s="7" t="s">
        <v>31</v>
      </c>
      <c r="F290" s="12" t="n">
        <f aca="false">IF(D290=E290,1,0)</f>
        <v>1</v>
      </c>
      <c r="G290" s="13" t="n">
        <v>0.0232558139534884</v>
      </c>
      <c r="H290" s="14" t="n">
        <v>0.363354791645261</v>
      </c>
      <c r="I290" s="14" t="n">
        <v>0.185609597202907</v>
      </c>
      <c r="J290" s="14" t="n">
        <v>0.451035611151832</v>
      </c>
      <c r="K290" s="12" t="s">
        <v>86</v>
      </c>
      <c r="L290" s="15" t="n">
        <v>1094</v>
      </c>
      <c r="M290" s="15" t="n">
        <v>8</v>
      </c>
    </row>
    <row r="291" customFormat="false" ht="15" hidden="false" customHeight="false" outlineLevel="0" collapsed="false">
      <c r="A291" s="12" t="s">
        <v>41</v>
      </c>
      <c r="B291" s="7" t="s">
        <v>42</v>
      </c>
      <c r="C291" s="12" t="s">
        <v>94</v>
      </c>
      <c r="D291" s="7" t="s">
        <v>31</v>
      </c>
      <c r="E291" s="7" t="s">
        <v>31</v>
      </c>
      <c r="F291" s="12" t="n">
        <f aca="false">IF(D291=E291,1,0)</f>
        <v>1</v>
      </c>
      <c r="G291" s="13" t="n">
        <v>0.0088495575221239</v>
      </c>
      <c r="H291" s="14" t="n">
        <v>0.39404661769192</v>
      </c>
      <c r="I291" s="14" t="n">
        <v>0.192528573418572</v>
      </c>
      <c r="J291" s="14" t="n">
        <v>0.413424808889508</v>
      </c>
      <c r="K291" s="12" t="s">
        <v>86</v>
      </c>
      <c r="L291" s="15" t="n">
        <v>1094</v>
      </c>
      <c r="M291" s="15" t="n">
        <v>8</v>
      </c>
    </row>
    <row r="292" customFormat="false" ht="15" hidden="false" customHeight="false" outlineLevel="0" collapsed="false">
      <c r="A292" s="12" t="s">
        <v>43</v>
      </c>
      <c r="B292" s="7" t="s">
        <v>44</v>
      </c>
      <c r="C292" s="12" t="s">
        <v>94</v>
      </c>
      <c r="D292" s="7" t="s">
        <v>31</v>
      </c>
      <c r="E292" s="7" t="s">
        <v>40</v>
      </c>
      <c r="F292" s="12" t="n">
        <f aca="false">IF(D292=E292,1,0)</f>
        <v>0</v>
      </c>
      <c r="G292" s="13" t="n">
        <v>0</v>
      </c>
      <c r="H292" s="14" t="n">
        <v>0.363943210099311</v>
      </c>
      <c r="I292" s="14" t="n">
        <v>0.217984327153037</v>
      </c>
      <c r="J292" s="14" t="n">
        <v>0.418072462747652</v>
      </c>
      <c r="K292" s="12" t="s">
        <v>86</v>
      </c>
      <c r="L292" s="15" t="n">
        <v>1094</v>
      </c>
      <c r="M292" s="15" t="n">
        <v>8</v>
      </c>
    </row>
    <row r="293" customFormat="false" ht="15" hidden="false" customHeight="false" outlineLevel="0" collapsed="false">
      <c r="A293" s="12" t="s">
        <v>28</v>
      </c>
      <c r="B293" s="7" t="s">
        <v>29</v>
      </c>
      <c r="C293" s="12" t="s">
        <v>95</v>
      </c>
      <c r="D293" s="7" t="s">
        <v>31</v>
      </c>
      <c r="E293" s="7" t="s">
        <v>40</v>
      </c>
      <c r="F293" s="12" t="n">
        <f aca="false">IF(D293=E293,1,0)</f>
        <v>0</v>
      </c>
      <c r="G293" s="13" t="n">
        <v>-0.002257336343115</v>
      </c>
      <c r="H293" s="14" t="n">
        <v>0.355409383729012</v>
      </c>
      <c r="I293" s="14" t="n">
        <v>0.189510376651249</v>
      </c>
      <c r="J293" s="14" t="n">
        <v>0.455080239619739</v>
      </c>
      <c r="K293" s="12" t="s">
        <v>86</v>
      </c>
      <c r="L293" s="15" t="n">
        <v>1094</v>
      </c>
      <c r="M293" s="15" t="n">
        <v>8</v>
      </c>
    </row>
    <row r="294" customFormat="false" ht="15" hidden="false" customHeight="false" outlineLevel="0" collapsed="false">
      <c r="A294" s="12" t="s">
        <v>34</v>
      </c>
      <c r="B294" s="7" t="s">
        <v>35</v>
      </c>
      <c r="C294" s="12" t="s">
        <v>95</v>
      </c>
      <c r="D294" s="7" t="s">
        <v>31</v>
      </c>
      <c r="E294" s="7" t="s">
        <v>31</v>
      </c>
      <c r="F294" s="12" t="n">
        <f aca="false">IF(D294=E294,1,0)</f>
        <v>1</v>
      </c>
      <c r="G294" s="13" t="n">
        <v>0.0268714011516315</v>
      </c>
      <c r="H294" s="14" t="n">
        <v>0.33350638450181</v>
      </c>
      <c r="I294" s="14" t="n">
        <v>0.195949883415018</v>
      </c>
      <c r="J294" s="14" t="n">
        <v>0.470543732083172</v>
      </c>
      <c r="K294" s="12" t="s">
        <v>86</v>
      </c>
      <c r="L294" s="15" t="n">
        <v>1094</v>
      </c>
      <c r="M294" s="15" t="n">
        <v>8</v>
      </c>
    </row>
    <row r="295" customFormat="false" ht="15" hidden="false" customHeight="false" outlineLevel="0" collapsed="false">
      <c r="A295" s="12" t="s">
        <v>36</v>
      </c>
      <c r="B295" s="7" t="s">
        <v>37</v>
      </c>
      <c r="C295" s="12" t="s">
        <v>95</v>
      </c>
      <c r="D295" s="7" t="s">
        <v>31</v>
      </c>
      <c r="E295" s="7" t="s">
        <v>31</v>
      </c>
      <c r="F295" s="12" t="n">
        <f aca="false">IF(D295=E295,1,0)</f>
        <v>1</v>
      </c>
      <c r="G295" s="13" t="n">
        <v>0.0281385281385282</v>
      </c>
      <c r="H295" s="14" t="n">
        <v>0.368339423295244</v>
      </c>
      <c r="I295" s="14" t="n">
        <v>0.202355735679952</v>
      </c>
      <c r="J295" s="14" t="n">
        <v>0.429304841024804</v>
      </c>
      <c r="K295" s="12" t="s">
        <v>86</v>
      </c>
      <c r="L295" s="15" t="n">
        <v>1094</v>
      </c>
      <c r="M295" s="15" t="n">
        <v>8</v>
      </c>
    </row>
    <row r="296" customFormat="false" ht="15" hidden="false" customHeight="false" outlineLevel="0" collapsed="false">
      <c r="A296" s="12" t="s">
        <v>38</v>
      </c>
      <c r="B296" s="7" t="s">
        <v>39</v>
      </c>
      <c r="C296" s="12" t="s">
        <v>95</v>
      </c>
      <c r="D296" s="7" t="s">
        <v>31</v>
      </c>
      <c r="E296" s="7" t="s">
        <v>31</v>
      </c>
      <c r="F296" s="12" t="n">
        <f aca="false">IF(D296=E296,1,0)</f>
        <v>1</v>
      </c>
      <c r="G296" s="13" t="n">
        <v>0.0693779904306219</v>
      </c>
      <c r="H296" s="14" t="n">
        <v>0.3455693240553</v>
      </c>
      <c r="I296" s="14" t="n">
        <v>0.186951965047683</v>
      </c>
      <c r="J296" s="14" t="n">
        <v>0.467478710897017</v>
      </c>
      <c r="K296" s="12" t="s">
        <v>86</v>
      </c>
      <c r="L296" s="15" t="n">
        <v>1094</v>
      </c>
      <c r="M296" s="15" t="n">
        <v>8</v>
      </c>
    </row>
    <row r="297" customFormat="false" ht="15" hidden="false" customHeight="false" outlineLevel="0" collapsed="false">
      <c r="A297" s="12" t="s">
        <v>41</v>
      </c>
      <c r="B297" s="7" t="s">
        <v>42</v>
      </c>
      <c r="C297" s="12" t="s">
        <v>95</v>
      </c>
      <c r="D297" s="7" t="s">
        <v>31</v>
      </c>
      <c r="E297" s="7" t="s">
        <v>32</v>
      </c>
      <c r="F297" s="12" t="n">
        <f aca="false">IF(D297=E297,1,0)</f>
        <v>0</v>
      </c>
      <c r="G297" s="13" t="n">
        <v>-0.0153508771929824</v>
      </c>
      <c r="H297" s="14" t="n">
        <v>0.38296079956766</v>
      </c>
      <c r="I297" s="14" t="n">
        <v>0.21215078227444</v>
      </c>
      <c r="J297" s="14" t="n">
        <v>0.404888418157901</v>
      </c>
      <c r="K297" s="12" t="s">
        <v>86</v>
      </c>
      <c r="L297" s="15" t="n">
        <v>1094</v>
      </c>
      <c r="M297" s="15" t="n">
        <v>8</v>
      </c>
    </row>
    <row r="298" customFormat="false" ht="15" hidden="false" customHeight="false" outlineLevel="0" collapsed="false">
      <c r="A298" s="12" t="s">
        <v>43</v>
      </c>
      <c r="B298" s="7" t="s">
        <v>44</v>
      </c>
      <c r="C298" s="12" t="s">
        <v>95</v>
      </c>
      <c r="D298" s="7" t="s">
        <v>31</v>
      </c>
      <c r="E298" s="7" t="s">
        <v>31</v>
      </c>
      <c r="F298" s="12" t="n">
        <f aca="false">IF(D298=E298,1,0)</f>
        <v>1</v>
      </c>
      <c r="G298" s="13" t="n">
        <v>0.0348258706467661</v>
      </c>
      <c r="H298" s="14" t="n">
        <v>0.3455664331585</v>
      </c>
      <c r="I298" s="14" t="n">
        <v>0.22360788574781</v>
      </c>
      <c r="J298" s="14" t="n">
        <v>0.43082568109369</v>
      </c>
      <c r="K298" s="12" t="s">
        <v>86</v>
      </c>
      <c r="L298" s="15" t="n">
        <v>1094</v>
      </c>
      <c r="M298" s="15" t="n">
        <v>8</v>
      </c>
    </row>
    <row r="299" customFormat="false" ht="15" hidden="false" customHeight="false" outlineLevel="0" collapsed="false">
      <c r="A299" s="12" t="s">
        <v>28</v>
      </c>
      <c r="B299" s="7" t="s">
        <v>29</v>
      </c>
      <c r="C299" s="12" t="s">
        <v>96</v>
      </c>
      <c r="D299" s="7" t="s">
        <v>31</v>
      </c>
      <c r="E299" s="7" t="s">
        <v>31</v>
      </c>
      <c r="F299" s="12" t="n">
        <f aca="false">IF(D299=E299,1,0)</f>
        <v>1</v>
      </c>
      <c r="G299" s="13" t="n">
        <v>0.009049773755656</v>
      </c>
      <c r="H299" s="14" t="n">
        <v>0.333815381390991</v>
      </c>
      <c r="I299" s="14" t="n">
        <v>0.209992380233668</v>
      </c>
      <c r="J299" s="14" t="n">
        <v>0.456192238375341</v>
      </c>
      <c r="K299" s="12" t="s">
        <v>86</v>
      </c>
      <c r="L299" s="15" t="n">
        <v>1094</v>
      </c>
      <c r="M299" s="15" t="n">
        <v>8</v>
      </c>
    </row>
    <row r="300" customFormat="false" ht="15" hidden="false" customHeight="false" outlineLevel="0" collapsed="false">
      <c r="A300" s="12" t="s">
        <v>34</v>
      </c>
      <c r="B300" s="7" t="s">
        <v>35</v>
      </c>
      <c r="C300" s="12" t="s">
        <v>96</v>
      </c>
      <c r="D300" s="7" t="s">
        <v>31</v>
      </c>
      <c r="E300" s="7" t="s">
        <v>31</v>
      </c>
      <c r="F300" s="12" t="n">
        <f aca="false">IF(D300=E300,1,0)</f>
        <v>1</v>
      </c>
      <c r="G300" s="13" t="n">
        <v>0.005607476635514</v>
      </c>
      <c r="H300" s="14" t="n">
        <v>0.31618062549375</v>
      </c>
      <c r="I300" s="14" t="n">
        <v>0.2226891498804</v>
      </c>
      <c r="J300" s="14" t="n">
        <v>0.461130224625851</v>
      </c>
      <c r="K300" s="12" t="s">
        <v>86</v>
      </c>
      <c r="L300" s="15" t="n">
        <v>1094</v>
      </c>
      <c r="M300" s="15" t="n">
        <v>8</v>
      </c>
    </row>
    <row r="301" customFormat="false" ht="15" hidden="false" customHeight="false" outlineLevel="0" collapsed="false">
      <c r="A301" s="12" t="s">
        <v>36</v>
      </c>
      <c r="B301" s="7" t="s">
        <v>37</v>
      </c>
      <c r="C301" s="12" t="s">
        <v>96</v>
      </c>
      <c r="D301" s="7" t="s">
        <v>31</v>
      </c>
      <c r="E301" s="7" t="s">
        <v>31</v>
      </c>
      <c r="F301" s="12" t="n">
        <f aca="false">IF(D301=E301,1,0)</f>
        <v>1</v>
      </c>
      <c r="G301" s="13" t="n">
        <v>0.0105263157894737</v>
      </c>
      <c r="H301" s="14" t="n">
        <v>0.354831220555891</v>
      </c>
      <c r="I301" s="14" t="n">
        <v>0.243961937073807</v>
      </c>
      <c r="J301" s="14" t="n">
        <v>0.401206842370301</v>
      </c>
      <c r="K301" s="12" t="s">
        <v>86</v>
      </c>
      <c r="L301" s="15" t="n">
        <v>1094</v>
      </c>
      <c r="M301" s="15" t="n">
        <v>8</v>
      </c>
    </row>
    <row r="302" customFormat="false" ht="15" hidden="false" customHeight="false" outlineLevel="0" collapsed="false">
      <c r="A302" s="12" t="s">
        <v>38</v>
      </c>
      <c r="B302" s="7" t="s">
        <v>39</v>
      </c>
      <c r="C302" s="12" t="s">
        <v>96</v>
      </c>
      <c r="D302" s="7" t="s">
        <v>31</v>
      </c>
      <c r="E302" s="7" t="s">
        <v>31</v>
      </c>
      <c r="F302" s="12" t="n">
        <f aca="false">IF(D302=E302,1,0)</f>
        <v>1</v>
      </c>
      <c r="G302" s="13" t="n">
        <v>0.0201342281879195</v>
      </c>
      <c r="H302" s="14" t="n">
        <v>0.322487238324511</v>
      </c>
      <c r="I302" s="14" t="n">
        <v>0.221853103394364</v>
      </c>
      <c r="J302" s="14" t="n">
        <v>0.455659658281126</v>
      </c>
      <c r="K302" s="12" t="s">
        <v>86</v>
      </c>
      <c r="L302" s="15" t="n">
        <v>1094</v>
      </c>
      <c r="M302" s="15" t="n">
        <v>8</v>
      </c>
    </row>
    <row r="303" customFormat="false" ht="15" hidden="false" customHeight="false" outlineLevel="0" collapsed="false">
      <c r="A303" s="12" t="s">
        <v>41</v>
      </c>
      <c r="B303" s="7" t="s">
        <v>42</v>
      </c>
      <c r="C303" s="12" t="s">
        <v>96</v>
      </c>
      <c r="D303" s="7" t="s">
        <v>31</v>
      </c>
      <c r="E303" s="7" t="s">
        <v>32</v>
      </c>
      <c r="F303" s="12" t="n">
        <f aca="false">IF(D303=E303,1,0)</f>
        <v>0</v>
      </c>
      <c r="G303" s="13" t="n">
        <v>-0.0178173719376392</v>
      </c>
      <c r="H303" s="14" t="n">
        <v>0.352248493697488</v>
      </c>
      <c r="I303" s="14" t="n">
        <v>0.23057906783418</v>
      </c>
      <c r="J303" s="14" t="n">
        <v>0.417172438468331</v>
      </c>
      <c r="K303" s="12" t="s">
        <v>86</v>
      </c>
      <c r="L303" s="15" t="n">
        <v>1094</v>
      </c>
      <c r="M303" s="15" t="n">
        <v>8</v>
      </c>
    </row>
    <row r="304" customFormat="false" ht="15" hidden="false" customHeight="false" outlineLevel="0" collapsed="false">
      <c r="A304" s="12" t="s">
        <v>43</v>
      </c>
      <c r="B304" s="7" t="s">
        <v>44</v>
      </c>
      <c r="C304" s="12" t="s">
        <v>96</v>
      </c>
      <c r="D304" s="7" t="s">
        <v>31</v>
      </c>
      <c r="E304" s="7" t="s">
        <v>31</v>
      </c>
      <c r="F304" s="12" t="n">
        <f aca="false">IF(D304=E304,1,0)</f>
        <v>1</v>
      </c>
      <c r="G304" s="13" t="n">
        <v>0.0528846153846154</v>
      </c>
      <c r="H304" s="14" t="n">
        <v>0.32145587983737</v>
      </c>
      <c r="I304" s="14" t="n">
        <v>0.232206723282514</v>
      </c>
      <c r="J304" s="14" t="n">
        <v>0.446337396880115</v>
      </c>
      <c r="K304" s="12" t="s">
        <v>86</v>
      </c>
      <c r="L304" s="15" t="n">
        <v>1094</v>
      </c>
      <c r="M304" s="15" t="n">
        <v>8</v>
      </c>
    </row>
    <row r="305" customFormat="false" ht="15" hidden="false" customHeight="false" outlineLevel="0" collapsed="false">
      <c r="A305" s="12" t="s">
        <v>28</v>
      </c>
      <c r="B305" s="7" t="s">
        <v>29</v>
      </c>
      <c r="C305" s="12" t="s">
        <v>97</v>
      </c>
      <c r="D305" s="7" t="s">
        <v>31</v>
      </c>
      <c r="E305" s="7" t="s">
        <v>32</v>
      </c>
      <c r="F305" s="12" t="n">
        <f aca="false">IF(D305=E305,1,0)</f>
        <v>0</v>
      </c>
      <c r="G305" s="13" t="n">
        <v>-0.0336322869955156</v>
      </c>
      <c r="H305" s="14" t="n">
        <v>0.333865081570919</v>
      </c>
      <c r="I305" s="14" t="n">
        <v>0.214959382044865</v>
      </c>
      <c r="J305" s="14" t="n">
        <v>0.451175536384217</v>
      </c>
      <c r="K305" s="12" t="s">
        <v>86</v>
      </c>
      <c r="L305" s="15" t="n">
        <v>1094</v>
      </c>
      <c r="M305" s="15" t="n">
        <v>8</v>
      </c>
    </row>
    <row r="306" customFormat="false" ht="15" hidden="false" customHeight="false" outlineLevel="0" collapsed="false">
      <c r="A306" s="12" t="s">
        <v>34</v>
      </c>
      <c r="B306" s="7" t="s">
        <v>35</v>
      </c>
      <c r="C306" s="12" t="s">
        <v>97</v>
      </c>
      <c r="D306" s="7" t="s">
        <v>31</v>
      </c>
      <c r="E306" s="7" t="s">
        <v>31</v>
      </c>
      <c r="F306" s="12" t="n">
        <f aca="false">IF(D306=E306,1,0)</f>
        <v>1</v>
      </c>
      <c r="G306" s="13" t="n">
        <v>0.0111524163568772</v>
      </c>
      <c r="H306" s="14" t="n">
        <v>0.335823875490365</v>
      </c>
      <c r="I306" s="14" t="n">
        <v>0.225292670370761</v>
      </c>
      <c r="J306" s="14" t="n">
        <v>0.438883454138874</v>
      </c>
      <c r="K306" s="12" t="s">
        <v>86</v>
      </c>
      <c r="L306" s="15" t="n">
        <v>1094</v>
      </c>
      <c r="M306" s="15" t="n">
        <v>8</v>
      </c>
    </row>
    <row r="307" customFormat="false" ht="15" hidden="false" customHeight="false" outlineLevel="0" collapsed="false">
      <c r="A307" s="12" t="s">
        <v>36</v>
      </c>
      <c r="B307" s="7" t="s">
        <v>37</v>
      </c>
      <c r="C307" s="12" t="s">
        <v>97</v>
      </c>
      <c r="D307" s="7" t="s">
        <v>31</v>
      </c>
      <c r="E307" s="7" t="s">
        <v>32</v>
      </c>
      <c r="F307" s="12" t="n">
        <f aca="false">IF(D307=E307,1,0)</f>
        <v>0</v>
      </c>
      <c r="G307" s="13" t="n">
        <v>-0.0062499999999999</v>
      </c>
      <c r="H307" s="14" t="n">
        <v>0.373755838348041</v>
      </c>
      <c r="I307" s="14" t="n">
        <v>0.232191120557793</v>
      </c>
      <c r="J307" s="14" t="n">
        <v>0.394053041094166</v>
      </c>
      <c r="K307" s="12" t="s">
        <v>86</v>
      </c>
      <c r="L307" s="15" t="n">
        <v>1094</v>
      </c>
      <c r="M307" s="15" t="n">
        <v>8</v>
      </c>
    </row>
    <row r="308" customFormat="false" ht="15" hidden="false" customHeight="false" outlineLevel="0" collapsed="false">
      <c r="A308" s="12" t="s">
        <v>38</v>
      </c>
      <c r="B308" s="7" t="s">
        <v>39</v>
      </c>
      <c r="C308" s="12" t="s">
        <v>97</v>
      </c>
      <c r="D308" s="7" t="s">
        <v>31</v>
      </c>
      <c r="E308" s="7" t="s">
        <v>32</v>
      </c>
      <c r="F308" s="12" t="n">
        <f aca="false">IF(D308=E308,1,0)</f>
        <v>0</v>
      </c>
      <c r="G308" s="13" t="n">
        <v>-0.0219298245614034</v>
      </c>
      <c r="H308" s="14" t="n">
        <v>0.333128753628183</v>
      </c>
      <c r="I308" s="14" t="n">
        <v>0.2328631126287</v>
      </c>
      <c r="J308" s="14" t="n">
        <v>0.434008133743117</v>
      </c>
      <c r="K308" s="12" t="s">
        <v>86</v>
      </c>
      <c r="L308" s="15" t="n">
        <v>1094</v>
      </c>
      <c r="M308" s="15" t="n">
        <v>8</v>
      </c>
    </row>
    <row r="309" customFormat="false" ht="15" hidden="false" customHeight="false" outlineLevel="0" collapsed="false">
      <c r="A309" s="12" t="s">
        <v>41</v>
      </c>
      <c r="B309" s="7" t="s">
        <v>42</v>
      </c>
      <c r="C309" s="12" t="s">
        <v>97</v>
      </c>
      <c r="D309" s="7" t="s">
        <v>32</v>
      </c>
      <c r="E309" s="7" t="s">
        <v>32</v>
      </c>
      <c r="F309" s="12" t="n">
        <f aca="false">IF(D309=E309,1,0)</f>
        <v>1</v>
      </c>
      <c r="G309" s="13" t="n">
        <v>-0.120181405895692</v>
      </c>
      <c r="H309" s="14" t="n">
        <v>0.439419188408008</v>
      </c>
      <c r="I309" s="14" t="n">
        <v>0.23057096452065</v>
      </c>
      <c r="J309" s="14" t="n">
        <v>0.330009847071342</v>
      </c>
      <c r="K309" s="12" t="s">
        <v>86</v>
      </c>
      <c r="L309" s="15" t="n">
        <v>1094</v>
      </c>
      <c r="M309" s="15" t="n">
        <v>8</v>
      </c>
    </row>
    <row r="310" customFormat="false" ht="15" hidden="false" customHeight="false" outlineLevel="0" collapsed="false">
      <c r="A310" s="12" t="s">
        <v>43</v>
      </c>
      <c r="B310" s="7" t="s">
        <v>44</v>
      </c>
      <c r="C310" s="12" t="s">
        <v>97</v>
      </c>
      <c r="D310" s="7" t="s">
        <v>31</v>
      </c>
      <c r="E310" s="7" t="s">
        <v>31</v>
      </c>
      <c r="F310" s="12" t="n">
        <f aca="false">IF(D310=E310,1,0)</f>
        <v>1</v>
      </c>
      <c r="G310" s="13" t="n">
        <v>0.0365296803652968</v>
      </c>
      <c r="H310" s="14" t="n">
        <v>0.337722215683452</v>
      </c>
      <c r="I310" s="14" t="n">
        <v>0.23312965231838</v>
      </c>
      <c r="J310" s="14" t="n">
        <v>0.429148131998169</v>
      </c>
      <c r="K310" s="12" t="s">
        <v>86</v>
      </c>
      <c r="L310" s="15" t="n">
        <v>1094</v>
      </c>
      <c r="M310" s="15" t="n">
        <v>8</v>
      </c>
    </row>
    <row r="311" customFormat="false" ht="15" hidden="false" customHeight="false" outlineLevel="0" collapsed="false">
      <c r="A311" s="12" t="s">
        <v>28</v>
      </c>
      <c r="B311" s="7" t="s">
        <v>29</v>
      </c>
      <c r="C311" s="12" t="s">
        <v>98</v>
      </c>
      <c r="D311" s="7" t="s">
        <v>32</v>
      </c>
      <c r="E311" s="7" t="s">
        <v>40</v>
      </c>
      <c r="F311" s="12" t="n">
        <f aca="false">IF(D311=E311,1,0)</f>
        <v>0</v>
      </c>
      <c r="G311" s="13" t="n">
        <v>-0.0023201856148491</v>
      </c>
      <c r="H311" s="14" t="n">
        <v>0.408413398065201</v>
      </c>
      <c r="I311" s="14" t="n">
        <v>0.205196588106605</v>
      </c>
      <c r="J311" s="14" t="n">
        <v>0.386390013828193</v>
      </c>
      <c r="K311" s="12" t="s">
        <v>86</v>
      </c>
      <c r="L311" s="15" t="n">
        <v>1094</v>
      </c>
      <c r="M311" s="15" t="n">
        <v>8</v>
      </c>
    </row>
    <row r="312" customFormat="false" ht="15" hidden="false" customHeight="false" outlineLevel="0" collapsed="false">
      <c r="A312" s="12" t="s">
        <v>34</v>
      </c>
      <c r="B312" s="7" t="s">
        <v>35</v>
      </c>
      <c r="C312" s="12" t="s">
        <v>98</v>
      </c>
      <c r="D312" s="7" t="s">
        <v>32</v>
      </c>
      <c r="E312" s="7" t="s">
        <v>32</v>
      </c>
      <c r="F312" s="12" t="n">
        <f aca="false">IF(D312=E312,1,0)</f>
        <v>1</v>
      </c>
      <c r="G312" s="13" t="n">
        <v>-0.0128676470588234</v>
      </c>
      <c r="H312" s="14" t="n">
        <v>0.390944367352509</v>
      </c>
      <c r="I312" s="14" t="n">
        <v>0.223726077618117</v>
      </c>
      <c r="J312" s="14" t="n">
        <v>0.385329555029374</v>
      </c>
      <c r="K312" s="12" t="s">
        <v>86</v>
      </c>
      <c r="L312" s="15" t="n">
        <v>1094</v>
      </c>
      <c r="M312" s="15" t="n">
        <v>8</v>
      </c>
    </row>
    <row r="313" customFormat="false" ht="15" hidden="false" customHeight="false" outlineLevel="0" collapsed="false">
      <c r="A313" s="12" t="s">
        <v>36</v>
      </c>
      <c r="B313" s="7" t="s">
        <v>37</v>
      </c>
      <c r="C313" s="12" t="s">
        <v>98</v>
      </c>
      <c r="D313" s="7" t="s">
        <v>32</v>
      </c>
      <c r="E313" s="7" t="s">
        <v>31</v>
      </c>
      <c r="F313" s="12" t="n">
        <f aca="false">IF(D313=E313,1,0)</f>
        <v>0</v>
      </c>
      <c r="G313" s="13" t="n">
        <v>0.0104821802935011</v>
      </c>
      <c r="H313" s="14" t="n">
        <v>0.400471048606712</v>
      </c>
      <c r="I313" s="14" t="n">
        <v>0.216781397261927</v>
      </c>
      <c r="J313" s="14" t="n">
        <v>0.382747554131361</v>
      </c>
      <c r="K313" s="12" t="s">
        <v>86</v>
      </c>
      <c r="L313" s="15" t="n">
        <v>1094</v>
      </c>
      <c r="M313" s="15" t="n">
        <v>8</v>
      </c>
    </row>
    <row r="314" customFormat="false" ht="15" hidden="false" customHeight="false" outlineLevel="0" collapsed="false">
      <c r="A314" s="12" t="s">
        <v>38</v>
      </c>
      <c r="B314" s="7" t="s">
        <v>39</v>
      </c>
      <c r="C314" s="12" t="s">
        <v>98</v>
      </c>
      <c r="D314" s="7" t="s">
        <v>31</v>
      </c>
      <c r="E314" s="7" t="s">
        <v>32</v>
      </c>
      <c r="F314" s="12" t="n">
        <f aca="false">IF(D314=E314,1,0)</f>
        <v>0</v>
      </c>
      <c r="G314" s="13" t="n">
        <v>-0.015695067264574</v>
      </c>
      <c r="H314" s="14" t="n">
        <v>0.382118953941599</v>
      </c>
      <c r="I314" s="14" t="n">
        <v>0.209136620268126</v>
      </c>
      <c r="J314" s="14" t="n">
        <v>0.408744425790275</v>
      </c>
      <c r="K314" s="12" t="s">
        <v>86</v>
      </c>
      <c r="L314" s="15" t="n">
        <v>1094</v>
      </c>
      <c r="M314" s="15" t="n">
        <v>8</v>
      </c>
    </row>
    <row r="315" customFormat="false" ht="15" hidden="false" customHeight="false" outlineLevel="0" collapsed="false">
      <c r="A315" s="12" t="s">
        <v>41</v>
      </c>
      <c r="B315" s="7" t="s">
        <v>42</v>
      </c>
      <c r="C315" s="12" t="s">
        <v>98</v>
      </c>
      <c r="D315" s="7" t="s">
        <v>31</v>
      </c>
      <c r="E315" s="7" t="s">
        <v>32</v>
      </c>
      <c r="F315" s="12" t="n">
        <f aca="false">IF(D315=E315,1,0)</f>
        <v>0</v>
      </c>
      <c r="G315" s="13" t="n">
        <v>-0.0051546391752577</v>
      </c>
      <c r="H315" s="14" t="n">
        <v>0.37989702774436</v>
      </c>
      <c r="I315" s="14" t="n">
        <v>0.21443447929458</v>
      </c>
      <c r="J315" s="14" t="n">
        <v>0.40566849296106</v>
      </c>
      <c r="K315" s="12" t="s">
        <v>86</v>
      </c>
      <c r="L315" s="15" t="n">
        <v>1094</v>
      </c>
      <c r="M315" s="15" t="n">
        <v>8</v>
      </c>
    </row>
    <row r="316" customFormat="false" ht="15" hidden="false" customHeight="false" outlineLevel="0" collapsed="false">
      <c r="A316" s="12" t="s">
        <v>43</v>
      </c>
      <c r="B316" s="7" t="s">
        <v>44</v>
      </c>
      <c r="C316" s="12" t="s">
        <v>98</v>
      </c>
      <c r="D316" s="7" t="s">
        <v>31</v>
      </c>
      <c r="E316" s="7" t="s">
        <v>31</v>
      </c>
      <c r="F316" s="12" t="n">
        <f aca="false">IF(D316=E316,1,0)</f>
        <v>1</v>
      </c>
      <c r="G316" s="13" t="n">
        <v>0.0176211453744492</v>
      </c>
      <c r="H316" s="14" t="n">
        <v>0.385669616057468</v>
      </c>
      <c r="I316" s="14" t="n">
        <v>0.217856772366486</v>
      </c>
      <c r="J316" s="14" t="n">
        <v>0.396473611576046</v>
      </c>
      <c r="K316" s="12" t="s">
        <v>86</v>
      </c>
      <c r="L316" s="15" t="n">
        <v>1094</v>
      </c>
      <c r="M316" s="15" t="n">
        <v>8</v>
      </c>
    </row>
    <row r="317" customFormat="false" ht="15" hidden="false" customHeight="false" outlineLevel="0" collapsed="false">
      <c r="A317" s="12" t="s">
        <v>28</v>
      </c>
      <c r="B317" s="7" t="s">
        <v>29</v>
      </c>
      <c r="C317" s="12" t="s">
        <v>99</v>
      </c>
      <c r="D317" s="7" t="s">
        <v>32</v>
      </c>
      <c r="E317" s="7" t="s">
        <v>40</v>
      </c>
      <c r="F317" s="12" t="n">
        <f aca="false">IF(D317=E317,1,0)</f>
        <v>0</v>
      </c>
      <c r="G317" s="13" t="n">
        <v>0</v>
      </c>
      <c r="H317" s="14" t="n">
        <v>0.399648445153782</v>
      </c>
      <c r="I317" s="14" t="n">
        <v>0.20285849081236</v>
      </c>
      <c r="J317" s="14" t="n">
        <v>0.397493064033858</v>
      </c>
      <c r="K317" s="12" t="s">
        <v>86</v>
      </c>
      <c r="L317" s="15" t="n">
        <v>1094</v>
      </c>
      <c r="M317" s="15" t="n">
        <v>8</v>
      </c>
    </row>
    <row r="318" customFormat="false" ht="15" hidden="false" customHeight="false" outlineLevel="0" collapsed="false">
      <c r="A318" s="12" t="s">
        <v>34</v>
      </c>
      <c r="B318" s="7" t="s">
        <v>35</v>
      </c>
      <c r="C318" s="12" t="s">
        <v>99</v>
      </c>
      <c r="D318" s="7" t="s">
        <v>32</v>
      </c>
      <c r="E318" s="7" t="s">
        <v>40</v>
      </c>
      <c r="F318" s="12" t="n">
        <f aca="false">IF(D318=E318,1,0)</f>
        <v>0</v>
      </c>
      <c r="G318" s="13" t="n">
        <v>0</v>
      </c>
      <c r="H318" s="14" t="n">
        <v>0.402180903191932</v>
      </c>
      <c r="I318" s="14" t="n">
        <v>0.218514910158101</v>
      </c>
      <c r="J318" s="14" t="n">
        <v>0.379304186649968</v>
      </c>
      <c r="K318" s="12" t="s">
        <v>86</v>
      </c>
      <c r="L318" s="15" t="n">
        <v>1094</v>
      </c>
      <c r="M318" s="15" t="n">
        <v>8</v>
      </c>
    </row>
    <row r="319" customFormat="false" ht="15" hidden="false" customHeight="false" outlineLevel="0" collapsed="false">
      <c r="A319" s="12" t="s">
        <v>36</v>
      </c>
      <c r="B319" s="7" t="s">
        <v>37</v>
      </c>
      <c r="C319" s="12" t="s">
        <v>99</v>
      </c>
      <c r="D319" s="7" t="s">
        <v>31</v>
      </c>
      <c r="E319" s="7" t="s">
        <v>31</v>
      </c>
      <c r="F319" s="12" t="n">
        <f aca="false">IF(D319=E319,1,0)</f>
        <v>1</v>
      </c>
      <c r="G319" s="13" t="n">
        <v>0.04149377593361</v>
      </c>
      <c r="H319" s="14" t="n">
        <v>0.377389284733169</v>
      </c>
      <c r="I319" s="14" t="n">
        <v>0.217705862470342</v>
      </c>
      <c r="J319" s="14" t="n">
        <v>0.404904852796489</v>
      </c>
      <c r="K319" s="12" t="s">
        <v>86</v>
      </c>
      <c r="L319" s="15" t="n">
        <v>1094</v>
      </c>
      <c r="M319" s="15" t="n">
        <v>8</v>
      </c>
    </row>
    <row r="320" customFormat="false" ht="15" hidden="false" customHeight="false" outlineLevel="0" collapsed="false">
      <c r="A320" s="12" t="s">
        <v>38</v>
      </c>
      <c r="B320" s="7" t="s">
        <v>39</v>
      </c>
      <c r="C320" s="12" t="s">
        <v>99</v>
      </c>
      <c r="D320" s="7" t="s">
        <v>31</v>
      </c>
      <c r="E320" s="7" t="s">
        <v>31</v>
      </c>
      <c r="F320" s="12" t="n">
        <f aca="false">IF(D320=E320,1,0)</f>
        <v>1</v>
      </c>
      <c r="G320" s="13" t="n">
        <v>0.0170842824601367</v>
      </c>
      <c r="H320" s="14" t="n">
        <v>0.37118626437697</v>
      </c>
      <c r="I320" s="14" t="n">
        <v>0.208994849849537</v>
      </c>
      <c r="J320" s="14" t="n">
        <v>0.419818885773493</v>
      </c>
      <c r="K320" s="12" t="s">
        <v>86</v>
      </c>
      <c r="L320" s="15" t="n">
        <v>1094</v>
      </c>
      <c r="M320" s="15" t="n">
        <v>8</v>
      </c>
    </row>
    <row r="321" customFormat="false" ht="15" hidden="false" customHeight="false" outlineLevel="0" collapsed="false">
      <c r="A321" s="12" t="s">
        <v>41</v>
      </c>
      <c r="B321" s="7" t="s">
        <v>42</v>
      </c>
      <c r="C321" s="12" t="s">
        <v>99</v>
      </c>
      <c r="D321" s="7" t="s">
        <v>31</v>
      </c>
      <c r="E321" s="7" t="s">
        <v>40</v>
      </c>
      <c r="F321" s="12" t="n">
        <f aca="false">IF(D321=E321,1,0)</f>
        <v>0</v>
      </c>
      <c r="G321" s="13" t="n">
        <v>0</v>
      </c>
      <c r="H321" s="14" t="n">
        <v>0.342627823778718</v>
      </c>
      <c r="I321" s="14" t="n">
        <v>0.233891598091352</v>
      </c>
      <c r="J321" s="14" t="n">
        <v>0.42348057812993</v>
      </c>
      <c r="K321" s="12" t="s">
        <v>86</v>
      </c>
      <c r="L321" s="15" t="n">
        <v>1094</v>
      </c>
      <c r="M321" s="15" t="n">
        <v>8</v>
      </c>
    </row>
    <row r="322" customFormat="false" ht="15" hidden="false" customHeight="false" outlineLevel="0" collapsed="false">
      <c r="A322" s="12" t="s">
        <v>43</v>
      </c>
      <c r="B322" s="7" t="s">
        <v>44</v>
      </c>
      <c r="C322" s="12" t="s">
        <v>99</v>
      </c>
      <c r="D322" s="7" t="s">
        <v>31</v>
      </c>
      <c r="E322" s="7" t="s">
        <v>32</v>
      </c>
      <c r="F322" s="12" t="n">
        <f aca="false">IF(D322=E322,1,0)</f>
        <v>0</v>
      </c>
      <c r="G322" s="13" t="n">
        <v>-0.0216450216450216</v>
      </c>
      <c r="H322" s="14" t="n">
        <v>0.385669616057468</v>
      </c>
      <c r="I322" s="14" t="n">
        <v>0.217856772366486</v>
      </c>
      <c r="J322" s="14" t="n">
        <v>0.396473611576046</v>
      </c>
      <c r="K322" s="12" t="s">
        <v>86</v>
      </c>
      <c r="L322" s="15" t="n">
        <v>1094</v>
      </c>
      <c r="M322" s="15" t="n">
        <v>8</v>
      </c>
    </row>
    <row r="323" customFormat="false" ht="15" hidden="false" customHeight="false" outlineLevel="0" collapsed="false">
      <c r="A323" s="12" t="s">
        <v>28</v>
      </c>
      <c r="B323" s="7" t="s">
        <v>29</v>
      </c>
      <c r="C323" s="12" t="s">
        <v>100</v>
      </c>
      <c r="D323" s="7" t="s">
        <v>31</v>
      </c>
      <c r="E323" s="7" t="s">
        <v>32</v>
      </c>
      <c r="F323" s="12" t="n">
        <f aca="false">IF(D323=E323,1,0)</f>
        <v>0</v>
      </c>
      <c r="G323" s="13" t="n">
        <v>-0.0325581395348837</v>
      </c>
      <c r="H323" s="14" t="n">
        <v>0.368361323141594</v>
      </c>
      <c r="I323" s="14" t="n">
        <v>0.213080922917439</v>
      </c>
      <c r="J323" s="14" t="n">
        <v>0.418557753940968</v>
      </c>
      <c r="K323" s="12" t="s">
        <v>86</v>
      </c>
      <c r="L323" s="15" t="n">
        <v>1094</v>
      </c>
      <c r="M323" s="15" t="n">
        <v>8</v>
      </c>
    </row>
    <row r="324" customFormat="false" ht="15" hidden="false" customHeight="false" outlineLevel="0" collapsed="false">
      <c r="A324" s="12" t="s">
        <v>34</v>
      </c>
      <c r="B324" s="7" t="s">
        <v>35</v>
      </c>
      <c r="C324" s="12" t="s">
        <v>100</v>
      </c>
      <c r="D324" s="7" t="s">
        <v>31</v>
      </c>
      <c r="E324" s="7" t="s">
        <v>32</v>
      </c>
      <c r="F324" s="12" t="n">
        <f aca="false">IF(D324=E324,1,0)</f>
        <v>0</v>
      </c>
      <c r="G324" s="13" t="n">
        <v>-0.0335195530726256</v>
      </c>
      <c r="H324" s="14" t="n">
        <v>0.356052403030367</v>
      </c>
      <c r="I324" s="14" t="n">
        <v>0.238528526970515</v>
      </c>
      <c r="J324" s="14" t="n">
        <v>0.405419069999118</v>
      </c>
      <c r="K324" s="12" t="s">
        <v>86</v>
      </c>
      <c r="L324" s="15" t="n">
        <v>1094</v>
      </c>
      <c r="M324" s="15" t="n">
        <v>8</v>
      </c>
    </row>
    <row r="325" customFormat="false" ht="15" hidden="false" customHeight="false" outlineLevel="0" collapsed="false">
      <c r="A325" s="12" t="s">
        <v>36</v>
      </c>
      <c r="B325" s="7" t="s">
        <v>37</v>
      </c>
      <c r="C325" s="12" t="s">
        <v>100</v>
      </c>
      <c r="D325" s="7" t="s">
        <v>31</v>
      </c>
      <c r="E325" s="7" t="s">
        <v>32</v>
      </c>
      <c r="F325" s="12" t="n">
        <f aca="false">IF(D325=E325,1,0)</f>
        <v>0</v>
      </c>
      <c r="G325" s="13" t="n">
        <v>-0.0079681274900398</v>
      </c>
      <c r="H325" s="14" t="n">
        <v>0.377297009838886</v>
      </c>
      <c r="I325" s="14" t="n">
        <v>0.226317449081525</v>
      </c>
      <c r="J325" s="14" t="n">
        <v>0.396385541079589</v>
      </c>
      <c r="K325" s="12" t="s">
        <v>86</v>
      </c>
      <c r="L325" s="15" t="n">
        <v>1094</v>
      </c>
      <c r="M325" s="15" t="n">
        <v>8</v>
      </c>
    </row>
    <row r="326" customFormat="false" ht="15" hidden="false" customHeight="false" outlineLevel="0" collapsed="false">
      <c r="A326" s="12" t="s">
        <v>38</v>
      </c>
      <c r="B326" s="7" t="s">
        <v>39</v>
      </c>
      <c r="C326" s="12" t="s">
        <v>100</v>
      </c>
      <c r="D326" s="7" t="s">
        <v>31</v>
      </c>
      <c r="E326" s="7" t="s">
        <v>31</v>
      </c>
      <c r="F326" s="12" t="n">
        <f aca="false">IF(D326=E326,1,0)</f>
        <v>1</v>
      </c>
      <c r="G326" s="13" t="n">
        <v>0.0156774916013437</v>
      </c>
      <c r="H326" s="14" t="n">
        <v>0.355687626069743</v>
      </c>
      <c r="I326" s="14" t="n">
        <v>0.227921699049528</v>
      </c>
      <c r="J326" s="14" t="n">
        <v>0.41639067488073</v>
      </c>
      <c r="K326" s="12" t="s">
        <v>86</v>
      </c>
      <c r="L326" s="15" t="n">
        <v>1094</v>
      </c>
      <c r="M326" s="15" t="n">
        <v>8</v>
      </c>
    </row>
    <row r="327" customFormat="false" ht="15" hidden="false" customHeight="false" outlineLevel="0" collapsed="false">
      <c r="A327" s="12" t="s">
        <v>41</v>
      </c>
      <c r="B327" s="7" t="s">
        <v>42</v>
      </c>
      <c r="C327" s="12" t="s">
        <v>100</v>
      </c>
      <c r="D327" s="7" t="s">
        <v>31</v>
      </c>
      <c r="E327" s="7" t="s">
        <v>32</v>
      </c>
      <c r="F327" s="12" t="n">
        <f aca="false">IF(D327=E327,1,0)</f>
        <v>0</v>
      </c>
      <c r="G327" s="13" t="n">
        <v>-0.0207253886010362</v>
      </c>
      <c r="H327" s="14" t="n">
        <v>0.330430133651521</v>
      </c>
      <c r="I327" s="14" t="n">
        <v>0.266857891226955</v>
      </c>
      <c r="J327" s="14" t="n">
        <v>0.402711975121524</v>
      </c>
      <c r="K327" s="12" t="s">
        <v>86</v>
      </c>
      <c r="L327" s="15" t="n">
        <v>1094</v>
      </c>
      <c r="M327" s="15" t="n">
        <v>8</v>
      </c>
    </row>
    <row r="328" customFormat="false" ht="15" hidden="false" customHeight="false" outlineLevel="0" collapsed="false">
      <c r="A328" s="12" t="s">
        <v>43</v>
      </c>
      <c r="B328" s="7" t="s">
        <v>44</v>
      </c>
      <c r="C328" s="12" t="s">
        <v>100</v>
      </c>
      <c r="D328" s="7" t="s">
        <v>31</v>
      </c>
      <c r="E328" s="7" t="s">
        <v>40</v>
      </c>
      <c r="F328" s="12" t="n">
        <f aca="false">IF(D328=E328,1,0)</f>
        <v>0</v>
      </c>
      <c r="G328" s="13" t="n">
        <v>0.0044247787610618</v>
      </c>
      <c r="H328" s="14" t="n">
        <v>0.34314885617195</v>
      </c>
      <c r="I328" s="14" t="n">
        <v>0.223922520690567</v>
      </c>
      <c r="J328" s="14" t="n">
        <v>0.432928623137483</v>
      </c>
      <c r="K328" s="12" t="s">
        <v>86</v>
      </c>
      <c r="L328" s="15" t="n">
        <v>1094</v>
      </c>
      <c r="M328" s="15" t="n">
        <v>8</v>
      </c>
    </row>
    <row r="329" customFormat="false" ht="15" hidden="false" customHeight="false" outlineLevel="0" collapsed="false">
      <c r="A329" s="12" t="s">
        <v>28</v>
      </c>
      <c r="B329" s="7" t="s">
        <v>29</v>
      </c>
      <c r="C329" s="12" t="s">
        <v>101</v>
      </c>
      <c r="D329" s="7" t="s">
        <v>31</v>
      </c>
      <c r="E329" s="7" t="s">
        <v>32</v>
      </c>
      <c r="F329" s="12" t="n">
        <f aca="false">IF(D329=E329,1,0)</f>
        <v>0</v>
      </c>
      <c r="G329" s="13" t="n">
        <v>-0.0384615384615384</v>
      </c>
      <c r="H329" s="14" t="n">
        <v>0.347441420806086</v>
      </c>
      <c r="I329" s="14" t="n">
        <v>0.238853237774157</v>
      </c>
      <c r="J329" s="14" t="n">
        <v>0.413705341419757</v>
      </c>
      <c r="K329" s="12" t="s">
        <v>86</v>
      </c>
      <c r="L329" s="15" t="n">
        <v>1094</v>
      </c>
      <c r="M329" s="15" t="n">
        <v>8</v>
      </c>
    </row>
    <row r="330" customFormat="false" ht="15" hidden="false" customHeight="false" outlineLevel="0" collapsed="false">
      <c r="A330" s="12" t="s">
        <v>34</v>
      </c>
      <c r="B330" s="7" t="s">
        <v>35</v>
      </c>
      <c r="C330" s="12" t="s">
        <v>101</v>
      </c>
      <c r="D330" s="7" t="s">
        <v>31</v>
      </c>
      <c r="E330" s="7" t="s">
        <v>32</v>
      </c>
      <c r="F330" s="12" t="n">
        <f aca="false">IF(D330=E330,1,0)</f>
        <v>0</v>
      </c>
      <c r="G330" s="13" t="n">
        <v>-0.0134874759152215</v>
      </c>
      <c r="H330" s="14" t="n">
        <v>0.367403853864324</v>
      </c>
      <c r="I330" s="14" t="n">
        <v>0.234505969058536</v>
      </c>
      <c r="J330" s="14" t="n">
        <v>0.398090177077139</v>
      </c>
      <c r="K330" s="12" t="s">
        <v>86</v>
      </c>
      <c r="L330" s="15" t="n">
        <v>1094</v>
      </c>
      <c r="M330" s="15" t="n">
        <v>8</v>
      </c>
    </row>
    <row r="331" customFormat="false" ht="15" hidden="false" customHeight="false" outlineLevel="0" collapsed="false">
      <c r="A331" s="12" t="s">
        <v>36</v>
      </c>
      <c r="B331" s="7" t="s">
        <v>37</v>
      </c>
      <c r="C331" s="12" t="s">
        <v>101</v>
      </c>
      <c r="D331" s="7" t="s">
        <v>31</v>
      </c>
      <c r="E331" s="7" t="s">
        <v>32</v>
      </c>
      <c r="F331" s="12" t="n">
        <f aca="false">IF(D331=E331,1,0)</f>
        <v>0</v>
      </c>
      <c r="G331" s="13" t="n">
        <v>-0.0401606425702811</v>
      </c>
      <c r="H331" s="14" t="n">
        <v>0.383324650150192</v>
      </c>
      <c r="I331" s="14" t="n">
        <v>0.22167255029097</v>
      </c>
      <c r="J331" s="14" t="n">
        <v>0.395002799558837</v>
      </c>
      <c r="K331" s="12" t="s">
        <v>86</v>
      </c>
      <c r="L331" s="15" t="n">
        <v>1094</v>
      </c>
      <c r="M331" s="15" t="n">
        <v>8</v>
      </c>
    </row>
    <row r="332" customFormat="false" ht="15" hidden="false" customHeight="false" outlineLevel="0" collapsed="false">
      <c r="A332" s="12" t="s">
        <v>38</v>
      </c>
      <c r="B332" s="7" t="s">
        <v>39</v>
      </c>
      <c r="C332" s="12" t="s">
        <v>101</v>
      </c>
      <c r="D332" s="7" t="s">
        <v>31</v>
      </c>
      <c r="E332" s="7" t="s">
        <v>32</v>
      </c>
      <c r="F332" s="12" t="n">
        <f aca="false">IF(D332=E332,1,0)</f>
        <v>0</v>
      </c>
      <c r="G332" s="13" t="n">
        <v>-0.0551267916207276</v>
      </c>
      <c r="H332" s="14" t="n">
        <v>0.332346067417272</v>
      </c>
      <c r="I332" s="14" t="n">
        <v>0.216780947115321</v>
      </c>
      <c r="J332" s="14" t="n">
        <v>0.450872985467407</v>
      </c>
      <c r="K332" s="12" t="s">
        <v>86</v>
      </c>
      <c r="L332" s="15" t="n">
        <v>1094</v>
      </c>
      <c r="M332" s="15" t="n">
        <v>8</v>
      </c>
    </row>
    <row r="333" customFormat="false" ht="15" hidden="false" customHeight="false" outlineLevel="0" collapsed="false">
      <c r="A333" s="12" t="s">
        <v>41</v>
      </c>
      <c r="B333" s="7" t="s">
        <v>42</v>
      </c>
      <c r="C333" s="12" t="s">
        <v>101</v>
      </c>
      <c r="D333" s="7" t="s">
        <v>31</v>
      </c>
      <c r="E333" s="7" t="s">
        <v>32</v>
      </c>
      <c r="F333" s="12" t="n">
        <f aca="false">IF(D333=E333,1,0)</f>
        <v>0</v>
      </c>
      <c r="G333" s="13" t="n">
        <v>-0.0132275132275132</v>
      </c>
      <c r="H333" s="14" t="n">
        <v>0.333330755610544</v>
      </c>
      <c r="I333" s="14" t="n">
        <v>0.286860735732069</v>
      </c>
      <c r="J333" s="14" t="n">
        <v>0.379808508657386</v>
      </c>
      <c r="K333" s="12" t="s">
        <v>86</v>
      </c>
      <c r="L333" s="15" t="n">
        <v>1094</v>
      </c>
      <c r="M333" s="15" t="n">
        <v>8</v>
      </c>
    </row>
    <row r="334" customFormat="false" ht="15" hidden="false" customHeight="false" outlineLevel="0" collapsed="false">
      <c r="A334" s="12" t="s">
        <v>43</v>
      </c>
      <c r="B334" s="7" t="s">
        <v>44</v>
      </c>
      <c r="C334" s="12" t="s">
        <v>101</v>
      </c>
      <c r="D334" s="7" t="s">
        <v>31</v>
      </c>
      <c r="E334" s="7" t="s">
        <v>32</v>
      </c>
      <c r="F334" s="12" t="n">
        <f aca="false">IF(D334=E334,1,0)</f>
        <v>0</v>
      </c>
      <c r="G334" s="13" t="n">
        <v>-0.0308370044052863</v>
      </c>
      <c r="H334" s="14" t="n">
        <v>0.347314537372505</v>
      </c>
      <c r="I334" s="14" t="n">
        <v>0.23366169846381</v>
      </c>
      <c r="J334" s="14" t="n">
        <v>0.419023764163686</v>
      </c>
      <c r="K334" s="12" t="s">
        <v>86</v>
      </c>
      <c r="L334" s="15" t="n">
        <v>1094</v>
      </c>
      <c r="M334" s="15" t="n">
        <v>8</v>
      </c>
    </row>
    <row r="335" customFormat="false" ht="15" hidden="false" customHeight="false" outlineLevel="0" collapsed="false">
      <c r="A335" s="12" t="s">
        <v>28</v>
      </c>
      <c r="B335" s="7" t="s">
        <v>29</v>
      </c>
      <c r="C335" s="12" t="s">
        <v>102</v>
      </c>
      <c r="D335" s="7" t="s">
        <v>31</v>
      </c>
      <c r="E335" s="7" t="s">
        <v>32</v>
      </c>
      <c r="F335" s="12" t="n">
        <f aca="false">IF(D335=E335,1,0)</f>
        <v>0</v>
      </c>
      <c r="G335" s="13" t="n">
        <v>-0.01</v>
      </c>
      <c r="H335" s="14" t="n">
        <v>0.366677268244836</v>
      </c>
      <c r="I335" s="14" t="n">
        <v>0.213026211408994</v>
      </c>
      <c r="J335" s="14" t="n">
        <v>0.42029652034617</v>
      </c>
      <c r="K335" s="12" t="s">
        <v>86</v>
      </c>
      <c r="L335" s="15" t="n">
        <v>1094</v>
      </c>
      <c r="M335" s="15" t="n">
        <v>8</v>
      </c>
    </row>
    <row r="336" customFormat="false" ht="15" hidden="false" customHeight="false" outlineLevel="0" collapsed="false">
      <c r="A336" s="12" t="s">
        <v>34</v>
      </c>
      <c r="B336" s="7" t="s">
        <v>35</v>
      </c>
      <c r="C336" s="12" t="s">
        <v>102</v>
      </c>
      <c r="D336" s="7" t="s">
        <v>32</v>
      </c>
      <c r="E336" s="7" t="s">
        <v>31</v>
      </c>
      <c r="F336" s="12" t="n">
        <f aca="false">IF(D336=E336,1,0)</f>
        <v>0</v>
      </c>
      <c r="G336" s="13" t="n">
        <v>0.005859375</v>
      </c>
      <c r="H336" s="14" t="n">
        <v>0.400443145876098</v>
      </c>
      <c r="I336" s="14" t="n">
        <v>0.201192144169896</v>
      </c>
      <c r="J336" s="14" t="n">
        <v>0.398364709954006</v>
      </c>
      <c r="K336" s="12" t="s">
        <v>86</v>
      </c>
      <c r="L336" s="15" t="n">
        <v>1094</v>
      </c>
      <c r="M336" s="15" t="n">
        <v>8</v>
      </c>
    </row>
    <row r="337" customFormat="false" ht="15" hidden="false" customHeight="false" outlineLevel="0" collapsed="false">
      <c r="A337" s="12" t="s">
        <v>36</v>
      </c>
      <c r="B337" s="7" t="s">
        <v>37</v>
      </c>
      <c r="C337" s="12" t="s">
        <v>102</v>
      </c>
      <c r="D337" s="7" t="s">
        <v>32</v>
      </c>
      <c r="E337" s="7" t="s">
        <v>40</v>
      </c>
      <c r="F337" s="12" t="n">
        <f aca="false">IF(D337=E337,1,0)</f>
        <v>0</v>
      </c>
      <c r="G337" s="13" t="n">
        <v>0</v>
      </c>
      <c r="H337" s="14" t="n">
        <v>0.431586306991585</v>
      </c>
      <c r="I337" s="14" t="n">
        <v>0.192217942477929</v>
      </c>
      <c r="J337" s="14" t="n">
        <v>0.376195750530485</v>
      </c>
      <c r="K337" s="12" t="s">
        <v>86</v>
      </c>
      <c r="L337" s="15" t="n">
        <v>1094</v>
      </c>
      <c r="M337" s="15" t="n">
        <v>8</v>
      </c>
    </row>
    <row r="338" customFormat="false" ht="15" hidden="false" customHeight="false" outlineLevel="0" collapsed="false">
      <c r="A338" s="12" t="s">
        <v>38</v>
      </c>
      <c r="B338" s="7" t="s">
        <v>39</v>
      </c>
      <c r="C338" s="12" t="s">
        <v>102</v>
      </c>
      <c r="D338" s="7" t="s">
        <v>31</v>
      </c>
      <c r="E338" s="7" t="s">
        <v>31</v>
      </c>
      <c r="F338" s="12" t="n">
        <f aca="false">IF(D338=E338,1,0)</f>
        <v>1</v>
      </c>
      <c r="G338" s="13" t="n">
        <v>0.0058343057176195</v>
      </c>
      <c r="H338" s="14" t="n">
        <v>0.387629541517957</v>
      </c>
      <c r="I338" s="14" t="n">
        <v>0.206196572439782</v>
      </c>
      <c r="J338" s="14" t="n">
        <v>0.406173886042261</v>
      </c>
      <c r="K338" s="12" t="s">
        <v>86</v>
      </c>
      <c r="L338" s="15" t="n">
        <v>1094</v>
      </c>
      <c r="M338" s="15" t="n">
        <v>8</v>
      </c>
    </row>
    <row r="339" customFormat="false" ht="15" hidden="false" customHeight="false" outlineLevel="0" collapsed="false">
      <c r="A339" s="12" t="s">
        <v>41</v>
      </c>
      <c r="B339" s="7" t="s">
        <v>42</v>
      </c>
      <c r="C339" s="12" t="s">
        <v>102</v>
      </c>
      <c r="D339" s="7" t="s">
        <v>31</v>
      </c>
      <c r="E339" s="7" t="s">
        <v>32</v>
      </c>
      <c r="F339" s="12" t="n">
        <f aca="false">IF(D339=E339,1,0)</f>
        <v>0</v>
      </c>
      <c r="G339" s="13" t="n">
        <v>-0.0080428954423592</v>
      </c>
      <c r="H339" s="14" t="n">
        <v>0.349965409563904</v>
      </c>
      <c r="I339" s="14" t="n">
        <v>0.284557799927269</v>
      </c>
      <c r="J339" s="14" t="n">
        <v>0.365476790508826</v>
      </c>
      <c r="K339" s="12" t="s">
        <v>86</v>
      </c>
      <c r="L339" s="15" t="n">
        <v>1094</v>
      </c>
      <c r="M339" s="15" t="n">
        <v>8</v>
      </c>
    </row>
    <row r="340" customFormat="false" ht="15" hidden="false" customHeight="false" outlineLevel="0" collapsed="false">
      <c r="A340" s="12" t="s">
        <v>43</v>
      </c>
      <c r="B340" s="7" t="s">
        <v>44</v>
      </c>
      <c r="C340" s="12" t="s">
        <v>102</v>
      </c>
      <c r="D340" s="7" t="s">
        <v>31</v>
      </c>
      <c r="E340" s="7" t="s">
        <v>31</v>
      </c>
      <c r="F340" s="12" t="n">
        <f aca="false">IF(D340=E340,1,0)</f>
        <v>1</v>
      </c>
      <c r="G340" s="13" t="n">
        <v>0.0136363636363636</v>
      </c>
      <c r="H340" s="14" t="n">
        <v>0.360879393241549</v>
      </c>
      <c r="I340" s="14" t="n">
        <v>0.209343700815</v>
      </c>
      <c r="J340" s="14" t="n">
        <v>0.429776905943451</v>
      </c>
      <c r="K340" s="12" t="s">
        <v>86</v>
      </c>
      <c r="L340" s="15" t="n">
        <v>1094</v>
      </c>
      <c r="M340" s="15" t="n">
        <v>8</v>
      </c>
    </row>
    <row r="341" customFormat="false" ht="15" hidden="false" customHeight="false" outlineLevel="0" collapsed="false">
      <c r="A341" s="12" t="s">
        <v>28</v>
      </c>
      <c r="B341" s="7" t="s">
        <v>29</v>
      </c>
      <c r="C341" s="12" t="s">
        <v>103</v>
      </c>
      <c r="D341" s="7" t="s">
        <v>31</v>
      </c>
      <c r="E341" s="7" t="s">
        <v>32</v>
      </c>
      <c r="F341" s="12" t="n">
        <f aca="false">IF(D341=E341,1,0)</f>
        <v>0</v>
      </c>
      <c r="G341" s="13" t="n">
        <v>-0.0858585858585858</v>
      </c>
      <c r="H341" s="14" t="n">
        <v>0.311851596062361</v>
      </c>
      <c r="I341" s="14" t="n">
        <v>0.245248148202289</v>
      </c>
      <c r="J341" s="14" t="n">
        <v>0.442900255735349</v>
      </c>
      <c r="K341" s="12" t="s">
        <v>86</v>
      </c>
      <c r="L341" s="15" t="n">
        <v>1094</v>
      </c>
      <c r="M341" s="15" t="n">
        <v>8</v>
      </c>
    </row>
    <row r="342" customFormat="false" ht="15" hidden="false" customHeight="false" outlineLevel="0" collapsed="false">
      <c r="A342" s="12" t="s">
        <v>34</v>
      </c>
      <c r="B342" s="7" t="s">
        <v>35</v>
      </c>
      <c r="C342" s="12" t="s">
        <v>103</v>
      </c>
      <c r="D342" s="7" t="s">
        <v>31</v>
      </c>
      <c r="E342" s="7" t="s">
        <v>32</v>
      </c>
      <c r="F342" s="12" t="n">
        <f aca="false">IF(D342=E342,1,0)</f>
        <v>0</v>
      </c>
      <c r="G342" s="13" t="n">
        <v>-0.0349514563106796</v>
      </c>
      <c r="H342" s="14" t="n">
        <v>0.365617053238298</v>
      </c>
      <c r="I342" s="14" t="n">
        <v>0.206445773732349</v>
      </c>
      <c r="J342" s="14" t="n">
        <v>0.427937173029353</v>
      </c>
      <c r="K342" s="12" t="s">
        <v>86</v>
      </c>
      <c r="L342" s="15" t="n">
        <v>1094</v>
      </c>
      <c r="M342" s="15" t="n">
        <v>8</v>
      </c>
    </row>
    <row r="343" customFormat="false" ht="15" hidden="false" customHeight="false" outlineLevel="0" collapsed="false">
      <c r="A343" s="12" t="s">
        <v>36</v>
      </c>
      <c r="B343" s="7" t="s">
        <v>37</v>
      </c>
      <c r="C343" s="12" t="s">
        <v>103</v>
      </c>
      <c r="D343" s="7" t="s">
        <v>32</v>
      </c>
      <c r="E343" s="7" t="s">
        <v>32</v>
      </c>
      <c r="F343" s="12" t="n">
        <f aca="false">IF(D343=E343,1,0)</f>
        <v>1</v>
      </c>
      <c r="G343" s="13" t="n">
        <v>-0.0209205020920502</v>
      </c>
      <c r="H343" s="14" t="n">
        <v>0.392424640098497</v>
      </c>
      <c r="I343" s="14" t="n">
        <v>0.21701413603224</v>
      </c>
      <c r="J343" s="14" t="n">
        <v>0.390561223869262</v>
      </c>
      <c r="K343" s="12" t="s">
        <v>86</v>
      </c>
      <c r="L343" s="15" t="n">
        <v>1094</v>
      </c>
      <c r="M343" s="15" t="n">
        <v>8</v>
      </c>
    </row>
    <row r="344" customFormat="false" ht="15" hidden="false" customHeight="false" outlineLevel="0" collapsed="false">
      <c r="A344" s="12" t="s">
        <v>38</v>
      </c>
      <c r="B344" s="7" t="s">
        <v>39</v>
      </c>
      <c r="C344" s="12" t="s">
        <v>103</v>
      </c>
      <c r="D344" s="7" t="s">
        <v>31</v>
      </c>
      <c r="E344" s="7" t="s">
        <v>32</v>
      </c>
      <c r="F344" s="12" t="n">
        <f aca="false">IF(D344=E344,1,0)</f>
        <v>0</v>
      </c>
      <c r="G344" s="13" t="n">
        <v>-0.099767981438515</v>
      </c>
      <c r="H344" s="14" t="n">
        <v>0.379804262323846</v>
      </c>
      <c r="I344" s="14" t="n">
        <v>0.209178043776437</v>
      </c>
      <c r="J344" s="14" t="n">
        <v>0.411017693899717</v>
      </c>
      <c r="K344" s="12" t="s">
        <v>86</v>
      </c>
      <c r="L344" s="15" t="n">
        <v>1094</v>
      </c>
      <c r="M344" s="15" t="n">
        <v>8</v>
      </c>
    </row>
    <row r="345" customFormat="false" ht="15" hidden="false" customHeight="false" outlineLevel="0" collapsed="false">
      <c r="A345" s="12" t="s">
        <v>41</v>
      </c>
      <c r="B345" s="7" t="s">
        <v>42</v>
      </c>
      <c r="C345" s="12" t="s">
        <v>103</v>
      </c>
      <c r="D345" s="7" t="s">
        <v>31</v>
      </c>
      <c r="E345" s="7" t="s">
        <v>32</v>
      </c>
      <c r="F345" s="12" t="n">
        <f aca="false">IF(D345=E345,1,0)</f>
        <v>0</v>
      </c>
      <c r="G345" s="13" t="n">
        <v>-0.0216216216216216</v>
      </c>
      <c r="H345" s="14" t="n">
        <v>0.352933357942683</v>
      </c>
      <c r="I345" s="14" t="n">
        <v>0.286971046602177</v>
      </c>
      <c r="J345" s="14" t="n">
        <v>0.36009559545514</v>
      </c>
      <c r="K345" s="12" t="s">
        <v>86</v>
      </c>
      <c r="L345" s="15" t="n">
        <v>1094</v>
      </c>
      <c r="M345" s="15" t="n">
        <v>8</v>
      </c>
    </row>
    <row r="346" customFormat="false" ht="15" hidden="false" customHeight="false" outlineLevel="0" collapsed="false">
      <c r="A346" s="12" t="s">
        <v>43</v>
      </c>
      <c r="B346" s="7" t="s">
        <v>44</v>
      </c>
      <c r="C346" s="12" t="s">
        <v>103</v>
      </c>
      <c r="D346" s="7" t="s">
        <v>31</v>
      </c>
      <c r="E346" s="7" t="s">
        <v>32</v>
      </c>
      <c r="F346" s="12" t="n">
        <f aca="false">IF(D346=E346,1,0)</f>
        <v>0</v>
      </c>
      <c r="G346" s="13" t="n">
        <v>-0.0493273542600897</v>
      </c>
      <c r="H346" s="14" t="n">
        <v>0.382676650717049</v>
      </c>
      <c r="I346" s="14" t="n">
        <v>0.202204017789159</v>
      </c>
      <c r="J346" s="14" t="n">
        <v>0.415119331493792</v>
      </c>
      <c r="K346" s="12" t="s">
        <v>86</v>
      </c>
      <c r="L346" s="15" t="n">
        <v>1094</v>
      </c>
      <c r="M346" s="15" t="n">
        <v>8</v>
      </c>
    </row>
    <row r="347" customFormat="false" ht="15" hidden="false" customHeight="false" outlineLevel="0" collapsed="false">
      <c r="A347" s="12" t="s">
        <v>28</v>
      </c>
      <c r="B347" s="7" t="s">
        <v>29</v>
      </c>
      <c r="C347" s="12" t="s">
        <v>104</v>
      </c>
      <c r="D347" s="7" t="s">
        <v>31</v>
      </c>
      <c r="E347" s="7" t="s">
        <v>31</v>
      </c>
      <c r="F347" s="12" t="n">
        <f aca="false">IF(D347=E347,1,0)</f>
        <v>1</v>
      </c>
      <c r="G347" s="13" t="n">
        <v>0.0524861878453037</v>
      </c>
      <c r="H347" s="14" t="n">
        <v>0.38586147516686</v>
      </c>
      <c r="I347" s="14" t="n">
        <v>0.225214150241588</v>
      </c>
      <c r="J347" s="14" t="n">
        <v>0.388924374591552</v>
      </c>
      <c r="K347" s="12" t="s">
        <v>86</v>
      </c>
      <c r="L347" s="15" t="n">
        <v>1094</v>
      </c>
      <c r="M347" s="15" t="n">
        <v>8</v>
      </c>
    </row>
    <row r="348" customFormat="false" ht="15" hidden="false" customHeight="false" outlineLevel="0" collapsed="false">
      <c r="A348" s="12" t="s">
        <v>34</v>
      </c>
      <c r="B348" s="7" t="s">
        <v>35</v>
      </c>
      <c r="C348" s="12" t="s">
        <v>104</v>
      </c>
      <c r="D348" s="7" t="s">
        <v>31</v>
      </c>
      <c r="E348" s="7" t="s">
        <v>32</v>
      </c>
      <c r="F348" s="12" t="n">
        <f aca="false">IF(D348=E348,1,0)</f>
        <v>0</v>
      </c>
      <c r="G348" s="13" t="n">
        <v>-0.0080482897384306</v>
      </c>
      <c r="H348" s="14" t="n">
        <v>0.378785165170668</v>
      </c>
      <c r="I348" s="14" t="n">
        <v>0.222630927686116</v>
      </c>
      <c r="J348" s="14" t="n">
        <v>0.398583907143216</v>
      </c>
      <c r="K348" s="12" t="s">
        <v>86</v>
      </c>
      <c r="L348" s="15" t="n">
        <v>1094</v>
      </c>
      <c r="M348" s="15" t="n">
        <v>8</v>
      </c>
    </row>
    <row r="349" customFormat="false" ht="15" hidden="false" customHeight="false" outlineLevel="0" collapsed="false">
      <c r="A349" s="12" t="s">
        <v>36</v>
      </c>
      <c r="B349" s="7" t="s">
        <v>37</v>
      </c>
      <c r="C349" s="12" t="s">
        <v>104</v>
      </c>
      <c r="D349" s="7" t="s">
        <v>32</v>
      </c>
      <c r="E349" s="7" t="s">
        <v>31</v>
      </c>
      <c r="F349" s="12" t="n">
        <f aca="false">IF(D349=E349,1,0)</f>
        <v>0</v>
      </c>
      <c r="G349" s="13" t="n">
        <v>0.0128205128205127</v>
      </c>
      <c r="H349" s="14" t="n">
        <v>0.423907543702627</v>
      </c>
      <c r="I349" s="14" t="n">
        <v>0.197763756367642</v>
      </c>
      <c r="J349" s="14" t="n">
        <v>0.378328699929731</v>
      </c>
      <c r="K349" s="12" t="s">
        <v>86</v>
      </c>
      <c r="L349" s="15" t="n">
        <v>1094</v>
      </c>
      <c r="M349" s="15" t="n">
        <v>8</v>
      </c>
    </row>
    <row r="350" customFormat="false" ht="15" hidden="false" customHeight="false" outlineLevel="0" collapsed="false">
      <c r="A350" s="12" t="s">
        <v>38</v>
      </c>
      <c r="B350" s="7" t="s">
        <v>39</v>
      </c>
      <c r="C350" s="12" t="s">
        <v>104</v>
      </c>
      <c r="D350" s="7" t="s">
        <v>31</v>
      </c>
      <c r="E350" s="7" t="s">
        <v>31</v>
      </c>
      <c r="F350" s="12" t="n">
        <f aca="false">IF(D350=E350,1,0)</f>
        <v>1</v>
      </c>
      <c r="G350" s="13" t="n">
        <v>0.0077319587628865</v>
      </c>
      <c r="H350" s="14" t="n">
        <v>0.384282151663662</v>
      </c>
      <c r="I350" s="14" t="n">
        <v>0.220507263676952</v>
      </c>
      <c r="J350" s="14" t="n">
        <v>0.395210584659386</v>
      </c>
      <c r="K350" s="12" t="s">
        <v>86</v>
      </c>
      <c r="L350" s="15" t="n">
        <v>1094</v>
      </c>
      <c r="M350" s="15" t="n">
        <v>8</v>
      </c>
    </row>
    <row r="351" customFormat="false" ht="15" hidden="false" customHeight="false" outlineLevel="0" collapsed="false">
      <c r="A351" s="12" t="s">
        <v>41</v>
      </c>
      <c r="B351" s="7" t="s">
        <v>42</v>
      </c>
      <c r="C351" s="12" t="s">
        <v>104</v>
      </c>
      <c r="D351" s="7" t="s">
        <v>32</v>
      </c>
      <c r="E351" s="7" t="s">
        <v>31</v>
      </c>
      <c r="F351" s="12" t="n">
        <f aca="false">IF(D351=E351,1,0)</f>
        <v>0</v>
      </c>
      <c r="G351" s="13" t="n">
        <v>0.0165745856353591</v>
      </c>
      <c r="H351" s="14" t="n">
        <v>0.388367846183909</v>
      </c>
      <c r="I351" s="14" t="n">
        <v>0.254133443215587</v>
      </c>
      <c r="J351" s="14" t="n">
        <v>0.357498710600503</v>
      </c>
      <c r="K351" s="12" t="s">
        <v>86</v>
      </c>
      <c r="L351" s="15" t="n">
        <v>1094</v>
      </c>
      <c r="M351" s="15" t="n">
        <v>8</v>
      </c>
    </row>
    <row r="352" customFormat="false" ht="15" hidden="false" customHeight="false" outlineLevel="0" collapsed="false">
      <c r="A352" s="12" t="s">
        <v>43</v>
      </c>
      <c r="B352" s="7" t="s">
        <v>44</v>
      </c>
      <c r="C352" s="12" t="s">
        <v>104</v>
      </c>
      <c r="D352" s="7" t="s">
        <v>31</v>
      </c>
      <c r="E352" s="7" t="s">
        <v>32</v>
      </c>
      <c r="F352" s="12" t="n">
        <f aca="false">IF(D352=E352,1,0)</f>
        <v>0</v>
      </c>
      <c r="G352" s="13" t="n">
        <v>-0.0424528301886792</v>
      </c>
      <c r="H352" s="14" t="n">
        <v>0.383543205871998</v>
      </c>
      <c r="I352" s="14" t="n">
        <v>0.188507629219572</v>
      </c>
      <c r="J352" s="14" t="n">
        <v>0.42794916490843</v>
      </c>
      <c r="K352" s="12" t="s">
        <v>86</v>
      </c>
      <c r="L352" s="15" t="n">
        <v>1094</v>
      </c>
      <c r="M352" s="15" t="n">
        <v>8</v>
      </c>
    </row>
    <row r="353" customFormat="false" ht="15" hidden="false" customHeight="false" outlineLevel="0" collapsed="false">
      <c r="A353" s="12" t="s">
        <v>28</v>
      </c>
      <c r="B353" s="7" t="s">
        <v>29</v>
      </c>
      <c r="C353" s="12" t="s">
        <v>105</v>
      </c>
      <c r="D353" s="7" t="s">
        <v>31</v>
      </c>
      <c r="E353" s="7" t="s">
        <v>31</v>
      </c>
      <c r="F353" s="12" t="n">
        <f aca="false">IF(D353=E353,1,0)</f>
        <v>1</v>
      </c>
      <c r="G353" s="13" t="n">
        <v>0.0236220472440944</v>
      </c>
      <c r="H353" s="14" t="n">
        <v>0.323323699147449</v>
      </c>
      <c r="I353" s="14" t="n">
        <v>0.23785551126627</v>
      </c>
      <c r="J353" s="14" t="n">
        <v>0.438820789586281</v>
      </c>
      <c r="K353" s="12" t="s">
        <v>86</v>
      </c>
      <c r="L353" s="15" t="n">
        <v>1094</v>
      </c>
      <c r="M353" s="15" t="n">
        <v>8</v>
      </c>
    </row>
    <row r="354" customFormat="false" ht="15" hidden="false" customHeight="false" outlineLevel="0" collapsed="false">
      <c r="A354" s="12" t="s">
        <v>34</v>
      </c>
      <c r="B354" s="7" t="s">
        <v>35</v>
      </c>
      <c r="C354" s="12" t="s">
        <v>105</v>
      </c>
      <c r="D354" s="7" t="s">
        <v>31</v>
      </c>
      <c r="E354" s="7" t="s">
        <v>31</v>
      </c>
      <c r="F354" s="12" t="n">
        <f aca="false">IF(D354=E354,1,0)</f>
        <v>1</v>
      </c>
      <c r="G354" s="13" t="n">
        <v>0.0182555780933062</v>
      </c>
      <c r="H354" s="14" t="n">
        <v>0.3434494690128</v>
      </c>
      <c r="I354" s="14" t="n">
        <v>0.266955004736515</v>
      </c>
      <c r="J354" s="14" t="n">
        <v>0.389595526250685</v>
      </c>
      <c r="K354" s="12" t="s">
        <v>86</v>
      </c>
      <c r="L354" s="15" t="n">
        <v>1094</v>
      </c>
      <c r="M354" s="15" t="n">
        <v>8</v>
      </c>
    </row>
    <row r="355" customFormat="false" ht="15" hidden="false" customHeight="false" outlineLevel="0" collapsed="false">
      <c r="A355" s="12" t="s">
        <v>36</v>
      </c>
      <c r="B355" s="7" t="s">
        <v>37</v>
      </c>
      <c r="C355" s="12" t="s">
        <v>105</v>
      </c>
      <c r="D355" s="7" t="s">
        <v>31</v>
      </c>
      <c r="E355" s="7" t="s">
        <v>31</v>
      </c>
      <c r="F355" s="12" t="n">
        <f aca="false">IF(D355=E355,1,0)</f>
        <v>1</v>
      </c>
      <c r="G355" s="13" t="n">
        <v>0.0168776371308017</v>
      </c>
      <c r="H355" s="14" t="n">
        <v>0.389657249179962</v>
      </c>
      <c r="I355" s="14" t="n">
        <v>0.217063505747436</v>
      </c>
      <c r="J355" s="14" t="n">
        <v>0.393279245072603</v>
      </c>
      <c r="K355" s="12" t="s">
        <v>86</v>
      </c>
      <c r="L355" s="15" t="n">
        <v>1094</v>
      </c>
      <c r="M355" s="15" t="n">
        <v>8</v>
      </c>
    </row>
    <row r="356" customFormat="false" ht="15" hidden="false" customHeight="false" outlineLevel="0" collapsed="false">
      <c r="A356" s="12" t="s">
        <v>38</v>
      </c>
      <c r="B356" s="7" t="s">
        <v>39</v>
      </c>
      <c r="C356" s="12" t="s">
        <v>105</v>
      </c>
      <c r="D356" s="7" t="s">
        <v>31</v>
      </c>
      <c r="E356" s="7" t="s">
        <v>31</v>
      </c>
      <c r="F356" s="12" t="n">
        <f aca="false">IF(D356=E356,1,0)</f>
        <v>1</v>
      </c>
      <c r="G356" s="13" t="n">
        <v>0.0856777493606137</v>
      </c>
      <c r="H356" s="14" t="n">
        <v>0.329648089205283</v>
      </c>
      <c r="I356" s="14" t="n">
        <v>0.23330879237035</v>
      </c>
      <c r="J356" s="14" t="n">
        <v>0.437043118424368</v>
      </c>
      <c r="K356" s="12" t="s">
        <v>86</v>
      </c>
      <c r="L356" s="15" t="n">
        <v>1094</v>
      </c>
      <c r="M356" s="15" t="n">
        <v>8</v>
      </c>
    </row>
    <row r="357" customFormat="false" ht="15" hidden="false" customHeight="false" outlineLevel="0" collapsed="false">
      <c r="A357" s="12" t="s">
        <v>41</v>
      </c>
      <c r="B357" s="7" t="s">
        <v>42</v>
      </c>
      <c r="C357" s="12" t="s">
        <v>105</v>
      </c>
      <c r="D357" s="7" t="s">
        <v>31</v>
      </c>
      <c r="E357" s="7" t="s">
        <v>40</v>
      </c>
      <c r="F357" s="12" t="n">
        <f aca="false">IF(D357=E357,1,0)</f>
        <v>0</v>
      </c>
      <c r="G357" s="13" t="n">
        <v>0.0027173913043478</v>
      </c>
      <c r="H357" s="14" t="n">
        <v>0.338719191840351</v>
      </c>
      <c r="I357" s="14" t="n">
        <v>0.268705619674612</v>
      </c>
      <c r="J357" s="14" t="n">
        <v>0.392575188485037</v>
      </c>
      <c r="K357" s="12" t="s">
        <v>86</v>
      </c>
      <c r="L357" s="15" t="n">
        <v>1094</v>
      </c>
      <c r="M357" s="15" t="n">
        <v>8</v>
      </c>
    </row>
    <row r="358" customFormat="false" ht="15" hidden="false" customHeight="false" outlineLevel="0" collapsed="false">
      <c r="A358" s="12" t="s">
        <v>43</v>
      </c>
      <c r="B358" s="7" t="s">
        <v>44</v>
      </c>
      <c r="C358" s="12" t="s">
        <v>105</v>
      </c>
      <c r="D358" s="7" t="s">
        <v>31</v>
      </c>
      <c r="E358" s="7" t="s">
        <v>32</v>
      </c>
      <c r="F358" s="12" t="n">
        <f aca="false">IF(D358=E358,1,0)</f>
        <v>0</v>
      </c>
      <c r="G358" s="13" t="n">
        <v>-0.0315270935960591</v>
      </c>
      <c r="H358" s="14" t="n">
        <v>0.377178820312642</v>
      </c>
      <c r="I358" s="14" t="n">
        <v>0.21187989770654</v>
      </c>
      <c r="J358" s="14" t="n">
        <v>0.410941281980819</v>
      </c>
      <c r="K358" s="12" t="s">
        <v>86</v>
      </c>
      <c r="L358" s="15" t="n">
        <v>1094</v>
      </c>
      <c r="M358" s="15" t="n">
        <v>8</v>
      </c>
    </row>
    <row r="359" customFormat="false" ht="15" hidden="false" customHeight="false" outlineLevel="0" collapsed="false">
      <c r="A359" s="12" t="s">
        <v>28</v>
      </c>
      <c r="B359" s="7" t="s">
        <v>29</v>
      </c>
      <c r="C359" s="12" t="s">
        <v>106</v>
      </c>
      <c r="D359" s="7" t="s">
        <v>31</v>
      </c>
      <c r="E359" s="7" t="s">
        <v>31</v>
      </c>
      <c r="F359" s="12" t="n">
        <f aca="false">IF(D359=E359,1,0)</f>
        <v>1</v>
      </c>
      <c r="G359" s="13" t="n">
        <v>0.0205128205128204</v>
      </c>
      <c r="H359" s="14" t="n">
        <v>0.303875217541279</v>
      </c>
      <c r="I359" s="14" t="n">
        <v>0.262341487699164</v>
      </c>
      <c r="J359" s="14" t="n">
        <v>0.433783294759556</v>
      </c>
      <c r="K359" s="12" t="s">
        <v>86</v>
      </c>
      <c r="L359" s="15" t="n">
        <v>1094</v>
      </c>
      <c r="M359" s="15" t="n">
        <v>8</v>
      </c>
    </row>
    <row r="360" customFormat="false" ht="15" hidden="false" customHeight="false" outlineLevel="0" collapsed="false">
      <c r="A360" s="12" t="s">
        <v>34</v>
      </c>
      <c r="B360" s="7" t="s">
        <v>35</v>
      </c>
      <c r="C360" s="12" t="s">
        <v>106</v>
      </c>
      <c r="D360" s="7" t="s">
        <v>31</v>
      </c>
      <c r="E360" s="7" t="s">
        <v>32</v>
      </c>
      <c r="F360" s="12" t="n">
        <f aca="false">IF(D360=E360,1,0)</f>
        <v>0</v>
      </c>
      <c r="G360" s="13" t="n">
        <v>-0.0119521912350597</v>
      </c>
      <c r="H360" s="14" t="n">
        <v>0.337389751000481</v>
      </c>
      <c r="I360" s="14" t="n">
        <v>0.252761048471278</v>
      </c>
      <c r="J360" s="14" t="n">
        <v>0.409849200528241</v>
      </c>
      <c r="K360" s="12" t="s">
        <v>86</v>
      </c>
      <c r="L360" s="15" t="n">
        <v>1094</v>
      </c>
      <c r="M360" s="15" t="n">
        <v>8</v>
      </c>
    </row>
    <row r="361" customFormat="false" ht="15" hidden="false" customHeight="false" outlineLevel="0" collapsed="false">
      <c r="A361" s="12" t="s">
        <v>36</v>
      </c>
      <c r="B361" s="7" t="s">
        <v>37</v>
      </c>
      <c r="C361" s="12" t="s">
        <v>106</v>
      </c>
      <c r="D361" s="7" t="s">
        <v>31</v>
      </c>
      <c r="E361" s="7" t="s">
        <v>31</v>
      </c>
      <c r="F361" s="12" t="n">
        <f aca="false">IF(D361=E361,1,0)</f>
        <v>1</v>
      </c>
      <c r="G361" s="13" t="n">
        <v>0.0394190871369295</v>
      </c>
      <c r="H361" s="14" t="n">
        <v>0.343825405130307</v>
      </c>
      <c r="I361" s="14" t="n">
        <v>0.20860785114832</v>
      </c>
      <c r="J361" s="14" t="n">
        <v>0.447566743721373</v>
      </c>
      <c r="K361" s="12" t="s">
        <v>86</v>
      </c>
      <c r="L361" s="15" t="n">
        <v>1094</v>
      </c>
      <c r="M361" s="15" t="n">
        <v>8</v>
      </c>
    </row>
    <row r="362" customFormat="false" ht="15" hidden="false" customHeight="false" outlineLevel="0" collapsed="false">
      <c r="A362" s="12" t="s">
        <v>38</v>
      </c>
      <c r="B362" s="7" t="s">
        <v>39</v>
      </c>
      <c r="C362" s="12" t="s">
        <v>106</v>
      </c>
      <c r="D362" s="7" t="s">
        <v>31</v>
      </c>
      <c r="E362" s="7" t="s">
        <v>31</v>
      </c>
      <c r="F362" s="12" t="n">
        <f aca="false">IF(D362=E362,1,0)</f>
        <v>1</v>
      </c>
      <c r="G362" s="13" t="n">
        <v>0.0212014134275617</v>
      </c>
      <c r="H362" s="14" t="n">
        <v>0.355099402275767</v>
      </c>
      <c r="I362" s="14" t="n">
        <v>0.231697896272275</v>
      </c>
      <c r="J362" s="14" t="n">
        <v>0.413202701451959</v>
      </c>
      <c r="K362" s="12" t="s">
        <v>86</v>
      </c>
      <c r="L362" s="15" t="n">
        <v>1094</v>
      </c>
      <c r="M362" s="15" t="n">
        <v>8</v>
      </c>
    </row>
    <row r="363" customFormat="false" ht="15" hidden="false" customHeight="false" outlineLevel="0" collapsed="false">
      <c r="A363" s="12" t="s">
        <v>41</v>
      </c>
      <c r="B363" s="7" t="s">
        <v>42</v>
      </c>
      <c r="C363" s="12" t="s">
        <v>106</v>
      </c>
      <c r="D363" s="7" t="s">
        <v>31</v>
      </c>
      <c r="E363" s="7" t="s">
        <v>31</v>
      </c>
      <c r="F363" s="12" t="n">
        <f aca="false">IF(D363=E363,1,0)</f>
        <v>1</v>
      </c>
      <c r="G363" s="13" t="n">
        <v>0.005420054200542</v>
      </c>
      <c r="H363" s="14" t="n">
        <v>0.334757664911945</v>
      </c>
      <c r="I363" s="14" t="n">
        <v>0.282643123133374</v>
      </c>
      <c r="J363" s="14" t="n">
        <v>0.382599211954682</v>
      </c>
      <c r="K363" s="12" t="s">
        <v>86</v>
      </c>
      <c r="L363" s="15" t="n">
        <v>1094</v>
      </c>
      <c r="M363" s="15" t="n">
        <v>8</v>
      </c>
    </row>
    <row r="364" customFormat="false" ht="15" hidden="false" customHeight="false" outlineLevel="0" collapsed="false">
      <c r="A364" s="12" t="s">
        <v>43</v>
      </c>
      <c r="B364" s="7" t="s">
        <v>44</v>
      </c>
      <c r="C364" s="12" t="s">
        <v>106</v>
      </c>
      <c r="D364" s="7" t="s">
        <v>31</v>
      </c>
      <c r="E364" s="7" t="s">
        <v>32</v>
      </c>
      <c r="F364" s="12" t="n">
        <f aca="false">IF(D364=E364,1,0)</f>
        <v>0</v>
      </c>
      <c r="G364" s="13" t="n">
        <v>-0.0335707019328586</v>
      </c>
      <c r="H364" s="14" t="n">
        <v>0.358426063993346</v>
      </c>
      <c r="I364" s="14" t="n">
        <v>0.208607034180642</v>
      </c>
      <c r="J364" s="14" t="n">
        <v>0.432966901826012</v>
      </c>
      <c r="K364" s="12" t="s">
        <v>86</v>
      </c>
      <c r="L364" s="15" t="n">
        <v>1094</v>
      </c>
      <c r="M364" s="15" t="n">
        <v>8</v>
      </c>
    </row>
    <row r="365" customFormat="false" ht="15" hidden="false" customHeight="false" outlineLevel="0" collapsed="false">
      <c r="A365" s="12" t="s">
        <v>28</v>
      </c>
      <c r="B365" s="7" t="s">
        <v>29</v>
      </c>
      <c r="C365" s="12" t="s">
        <v>107</v>
      </c>
      <c r="D365" s="7" t="s">
        <v>31</v>
      </c>
      <c r="E365" s="7" t="s">
        <v>32</v>
      </c>
      <c r="F365" s="12" t="n">
        <f aca="false">IF(D365=E365,1,0)</f>
        <v>0</v>
      </c>
      <c r="G365" s="13" t="n">
        <v>-0.0100502512562814</v>
      </c>
      <c r="H365" s="14" t="n">
        <v>0.366132805792707</v>
      </c>
      <c r="I365" s="14" t="n">
        <v>0.235359568593246</v>
      </c>
      <c r="J365" s="14" t="n">
        <v>0.398507625614047</v>
      </c>
      <c r="K365" s="12" t="s">
        <v>108</v>
      </c>
      <c r="L365" s="15" t="n">
        <v>1220</v>
      </c>
      <c r="M365" s="15" t="n">
        <v>1</v>
      </c>
    </row>
    <row r="366" customFormat="false" ht="15" hidden="false" customHeight="false" outlineLevel="0" collapsed="false">
      <c r="A366" s="12" t="s">
        <v>34</v>
      </c>
      <c r="B366" s="7" t="s">
        <v>35</v>
      </c>
      <c r="C366" s="12" t="s">
        <v>107</v>
      </c>
      <c r="D366" s="7" t="s">
        <v>31</v>
      </c>
      <c r="E366" s="7" t="s">
        <v>32</v>
      </c>
      <c r="F366" s="12" t="n">
        <f aca="false">IF(D366=E366,1,0)</f>
        <v>0</v>
      </c>
      <c r="G366" s="13" t="n">
        <v>-0.0362903225806451</v>
      </c>
      <c r="H366" s="14" t="n">
        <v>0.367023703812482</v>
      </c>
      <c r="I366" s="14" t="n">
        <v>0.228285557061245</v>
      </c>
      <c r="J366" s="14" t="n">
        <v>0.404690739126274</v>
      </c>
      <c r="K366" s="12" t="s">
        <v>108</v>
      </c>
      <c r="L366" s="15" t="n">
        <v>1220</v>
      </c>
      <c r="M366" s="15" t="n">
        <v>1</v>
      </c>
    </row>
    <row r="367" customFormat="false" ht="15" hidden="false" customHeight="false" outlineLevel="0" collapsed="false">
      <c r="A367" s="12" t="s">
        <v>36</v>
      </c>
      <c r="B367" s="7" t="s">
        <v>37</v>
      </c>
      <c r="C367" s="12" t="s">
        <v>107</v>
      </c>
      <c r="D367" s="7" t="s">
        <v>31</v>
      </c>
      <c r="E367" s="7" t="s">
        <v>32</v>
      </c>
      <c r="F367" s="12" t="n">
        <f aca="false">IF(D367=E367,1,0)</f>
        <v>0</v>
      </c>
      <c r="G367" s="13" t="n">
        <v>-0.0159680638722554</v>
      </c>
      <c r="H367" s="14" t="n">
        <v>0.3577603657744</v>
      </c>
      <c r="I367" s="14" t="n">
        <v>0.222583314866225</v>
      </c>
      <c r="J367" s="14" t="n">
        <v>0.419656319359375</v>
      </c>
      <c r="K367" s="12" t="s">
        <v>108</v>
      </c>
      <c r="L367" s="15" t="n">
        <v>1220</v>
      </c>
      <c r="M367" s="15" t="n">
        <v>1</v>
      </c>
    </row>
    <row r="368" customFormat="false" ht="15" hidden="false" customHeight="false" outlineLevel="0" collapsed="false">
      <c r="A368" s="12" t="s">
        <v>38</v>
      </c>
      <c r="B368" s="7" t="s">
        <v>39</v>
      </c>
      <c r="C368" s="12" t="s">
        <v>107</v>
      </c>
      <c r="D368" s="7" t="s">
        <v>31</v>
      </c>
      <c r="E368" s="7" t="s">
        <v>40</v>
      </c>
      <c r="F368" s="12" t="n">
        <f aca="false">IF(D368=E368,1,0)</f>
        <v>0</v>
      </c>
      <c r="G368" s="13" t="n">
        <v>0.0023068050749712</v>
      </c>
      <c r="H368" s="14" t="n">
        <v>0.369350783208608</v>
      </c>
      <c r="I368" s="14" t="n">
        <v>0.228639068270353</v>
      </c>
      <c r="J368" s="14" t="n">
        <v>0.402010148521039</v>
      </c>
      <c r="K368" s="12" t="s">
        <v>108</v>
      </c>
      <c r="L368" s="15" t="n">
        <v>1220</v>
      </c>
      <c r="M368" s="15" t="n">
        <v>1</v>
      </c>
    </row>
    <row r="369" customFormat="false" ht="15" hidden="false" customHeight="false" outlineLevel="0" collapsed="false">
      <c r="A369" s="12" t="s">
        <v>41</v>
      </c>
      <c r="B369" s="7" t="s">
        <v>42</v>
      </c>
      <c r="C369" s="12" t="s">
        <v>107</v>
      </c>
      <c r="D369" s="7" t="s">
        <v>31</v>
      </c>
      <c r="E369" s="7" t="s">
        <v>40</v>
      </c>
      <c r="F369" s="12" t="n">
        <f aca="false">IF(D369=E369,1,0)</f>
        <v>0</v>
      </c>
      <c r="G369" s="13" t="n">
        <v>0</v>
      </c>
      <c r="H369" s="14" t="n">
        <v>0.364238480095695</v>
      </c>
      <c r="I369" s="14" t="n">
        <v>0.234141847395446</v>
      </c>
      <c r="J369" s="14" t="n">
        <v>0.401619672508859</v>
      </c>
      <c r="K369" s="12" t="s">
        <v>108</v>
      </c>
      <c r="L369" s="15" t="n">
        <v>1220</v>
      </c>
      <c r="M369" s="15" t="n">
        <v>1</v>
      </c>
    </row>
    <row r="370" customFormat="false" ht="15" hidden="false" customHeight="false" outlineLevel="0" collapsed="false">
      <c r="A370" s="12" t="s">
        <v>43</v>
      </c>
      <c r="B370" s="7" t="s">
        <v>44</v>
      </c>
      <c r="C370" s="12" t="s">
        <v>107</v>
      </c>
      <c r="D370" s="7" t="s">
        <v>31</v>
      </c>
      <c r="E370" s="7" t="s">
        <v>32</v>
      </c>
      <c r="F370" s="12" t="n">
        <f aca="false">IF(D370=E370,1,0)</f>
        <v>0</v>
      </c>
      <c r="G370" s="13" t="n">
        <v>-0.0157894736842105</v>
      </c>
      <c r="H370" s="14" t="n">
        <v>0.373440091016137</v>
      </c>
      <c r="I370" s="14" t="n">
        <v>0.226456777258798</v>
      </c>
      <c r="J370" s="14" t="n">
        <v>0.400103131725065</v>
      </c>
      <c r="K370" s="12" t="s">
        <v>108</v>
      </c>
      <c r="L370" s="15" t="n">
        <v>1220</v>
      </c>
      <c r="M370" s="15" t="n">
        <v>1</v>
      </c>
    </row>
    <row r="371" customFormat="false" ht="15" hidden="false" customHeight="false" outlineLevel="0" collapsed="false">
      <c r="A371" s="12" t="s">
        <v>28</v>
      </c>
      <c r="B371" s="7" t="s">
        <v>29</v>
      </c>
      <c r="C371" s="12" t="s">
        <v>109</v>
      </c>
      <c r="D371" s="7" t="s">
        <v>31</v>
      </c>
      <c r="E371" s="7" t="s">
        <v>31</v>
      </c>
      <c r="F371" s="12" t="n">
        <f aca="false">IF(D371=E371,1,0)</f>
        <v>1</v>
      </c>
      <c r="G371" s="13" t="n">
        <v>0.0532994923857867</v>
      </c>
      <c r="H371" s="14" t="n">
        <v>0.368477630262322</v>
      </c>
      <c r="I371" s="14" t="n">
        <v>0.234488917957531</v>
      </c>
      <c r="J371" s="14" t="n">
        <v>0.397033451780147</v>
      </c>
      <c r="K371" s="12" t="s">
        <v>108</v>
      </c>
      <c r="L371" s="15" t="n">
        <v>1220</v>
      </c>
      <c r="M371" s="15" t="n">
        <v>1</v>
      </c>
    </row>
    <row r="372" customFormat="false" ht="15" hidden="false" customHeight="false" outlineLevel="0" collapsed="false">
      <c r="A372" s="12" t="s">
        <v>34</v>
      </c>
      <c r="B372" s="7" t="s">
        <v>35</v>
      </c>
      <c r="C372" s="12" t="s">
        <v>109</v>
      </c>
      <c r="D372" s="7" t="s">
        <v>31</v>
      </c>
      <c r="E372" s="7" t="s">
        <v>31</v>
      </c>
      <c r="F372" s="12" t="n">
        <f aca="false">IF(D372=E372,1,0)</f>
        <v>1</v>
      </c>
      <c r="G372" s="13" t="n">
        <v>0.0062761506276149</v>
      </c>
      <c r="H372" s="14" t="n">
        <v>0.370780342549485</v>
      </c>
      <c r="I372" s="14" t="n">
        <v>0.235954300027536</v>
      </c>
      <c r="J372" s="14" t="n">
        <v>0.39326535742298</v>
      </c>
      <c r="K372" s="12" t="s">
        <v>108</v>
      </c>
      <c r="L372" s="15" t="n">
        <v>1220</v>
      </c>
      <c r="M372" s="15" t="n">
        <v>1</v>
      </c>
    </row>
    <row r="373" customFormat="false" ht="15" hidden="false" customHeight="false" outlineLevel="0" collapsed="false">
      <c r="A373" s="12" t="s">
        <v>36</v>
      </c>
      <c r="B373" s="7" t="s">
        <v>37</v>
      </c>
      <c r="C373" s="12" t="s">
        <v>109</v>
      </c>
      <c r="D373" s="7" t="s">
        <v>31</v>
      </c>
      <c r="E373" s="7" t="s">
        <v>32</v>
      </c>
      <c r="F373" s="12" t="n">
        <f aca="false">IF(D373=E373,1,0)</f>
        <v>0</v>
      </c>
      <c r="G373" s="13" t="n">
        <v>-0.0081135902636917</v>
      </c>
      <c r="H373" s="14" t="n">
        <v>0.378974262602088</v>
      </c>
      <c r="I373" s="14" t="n">
        <v>0.219220915601774</v>
      </c>
      <c r="J373" s="14" t="n">
        <v>0.401804821796138</v>
      </c>
      <c r="K373" s="12" t="s">
        <v>108</v>
      </c>
      <c r="L373" s="15" t="n">
        <v>1220</v>
      </c>
      <c r="M373" s="15" t="n">
        <v>1</v>
      </c>
    </row>
    <row r="374" customFormat="false" ht="15" hidden="false" customHeight="false" outlineLevel="0" collapsed="false">
      <c r="A374" s="12" t="s">
        <v>38</v>
      </c>
      <c r="B374" s="7" t="s">
        <v>39</v>
      </c>
      <c r="C374" s="12" t="s">
        <v>109</v>
      </c>
      <c r="D374" s="7" t="s">
        <v>31</v>
      </c>
      <c r="E374" s="7" t="s">
        <v>32</v>
      </c>
      <c r="F374" s="12" t="n">
        <f aca="false">IF(D374=E374,1,0)</f>
        <v>0</v>
      </c>
      <c r="G374" s="13" t="n">
        <v>-0.0345224395857307</v>
      </c>
      <c r="H374" s="14" t="n">
        <v>0.358661448294027</v>
      </c>
      <c r="I374" s="14" t="n">
        <v>0.232514439094936</v>
      </c>
      <c r="J374" s="14" t="n">
        <v>0.408824112611037</v>
      </c>
      <c r="K374" s="12" t="s">
        <v>108</v>
      </c>
      <c r="L374" s="15" t="n">
        <v>1220</v>
      </c>
      <c r="M374" s="15" t="n">
        <v>1</v>
      </c>
    </row>
    <row r="375" customFormat="false" ht="15" hidden="false" customHeight="false" outlineLevel="0" collapsed="false">
      <c r="A375" s="12" t="s">
        <v>41</v>
      </c>
      <c r="B375" s="7" t="s">
        <v>42</v>
      </c>
      <c r="C375" s="12" t="s">
        <v>109</v>
      </c>
      <c r="D375" s="7" t="s">
        <v>31</v>
      </c>
      <c r="E375" s="7" t="s">
        <v>31</v>
      </c>
      <c r="F375" s="12" t="n">
        <f aca="false">IF(D375=E375,1,0)</f>
        <v>1</v>
      </c>
      <c r="G375" s="13" t="n">
        <v>0.0512129380053907</v>
      </c>
      <c r="H375" s="14" t="n">
        <v>0.366132805792707</v>
      </c>
      <c r="I375" s="14" t="n">
        <v>0.235359568593246</v>
      </c>
      <c r="J375" s="14" t="n">
        <v>0.398507625614047</v>
      </c>
      <c r="K375" s="12" t="s">
        <v>108</v>
      </c>
      <c r="L375" s="15" t="n">
        <v>1220</v>
      </c>
      <c r="M375" s="15" t="n">
        <v>1</v>
      </c>
    </row>
    <row r="376" customFormat="false" ht="15" hidden="false" customHeight="false" outlineLevel="0" collapsed="false">
      <c r="A376" s="12" t="s">
        <v>43</v>
      </c>
      <c r="B376" s="7" t="s">
        <v>44</v>
      </c>
      <c r="C376" s="12" t="s">
        <v>109</v>
      </c>
      <c r="D376" s="7" t="s">
        <v>31</v>
      </c>
      <c r="E376" s="7" t="s">
        <v>40</v>
      </c>
      <c r="F376" s="12" t="n">
        <f aca="false">IF(D376=E376,1,0)</f>
        <v>0</v>
      </c>
      <c r="G376" s="13" t="n">
        <v>0.0010695187165774</v>
      </c>
      <c r="H376" s="14" t="n">
        <v>0.362199547433201</v>
      </c>
      <c r="I376" s="14" t="n">
        <v>0.219640430177523</v>
      </c>
      <c r="J376" s="14" t="n">
        <v>0.418160022389276</v>
      </c>
      <c r="K376" s="12" t="s">
        <v>108</v>
      </c>
      <c r="L376" s="15" t="n">
        <v>1220</v>
      </c>
      <c r="M376" s="15" t="n">
        <v>1</v>
      </c>
    </row>
    <row r="377" customFormat="false" ht="15" hidden="false" customHeight="false" outlineLevel="0" collapsed="false">
      <c r="A377" s="12" t="s">
        <v>28</v>
      </c>
      <c r="B377" s="7" t="s">
        <v>29</v>
      </c>
      <c r="C377" s="12" t="s">
        <v>110</v>
      </c>
      <c r="D377" s="7" t="s">
        <v>31</v>
      </c>
      <c r="E377" s="7" t="s">
        <v>32</v>
      </c>
      <c r="F377" s="12" t="n">
        <f aca="false">IF(D377=E377,1,0)</f>
        <v>0</v>
      </c>
      <c r="G377" s="13" t="n">
        <v>-0.0385542168674698</v>
      </c>
      <c r="H377" s="14" t="n">
        <v>0.368477630262322</v>
      </c>
      <c r="I377" s="14" t="n">
        <v>0.234488917957531</v>
      </c>
      <c r="J377" s="14" t="n">
        <v>0.397033451780147</v>
      </c>
      <c r="K377" s="12" t="s">
        <v>108</v>
      </c>
      <c r="L377" s="15" t="n">
        <v>1220</v>
      </c>
      <c r="M377" s="15" t="n">
        <v>1</v>
      </c>
    </row>
    <row r="378" customFormat="false" ht="15" hidden="false" customHeight="false" outlineLevel="0" collapsed="false">
      <c r="A378" s="12" t="s">
        <v>34</v>
      </c>
      <c r="B378" s="7" t="s">
        <v>35</v>
      </c>
      <c r="C378" s="12" t="s">
        <v>110</v>
      </c>
      <c r="D378" s="7" t="s">
        <v>31</v>
      </c>
      <c r="E378" s="7" t="s">
        <v>31</v>
      </c>
      <c r="F378" s="12" t="n">
        <f aca="false">IF(D378=E378,1,0)</f>
        <v>1</v>
      </c>
      <c r="G378" s="13" t="n">
        <v>0.0062370062370062</v>
      </c>
      <c r="H378" s="14" t="n">
        <v>0.368477630262322</v>
      </c>
      <c r="I378" s="14" t="n">
        <v>0.234488917957531</v>
      </c>
      <c r="J378" s="14" t="n">
        <v>0.397033451780147</v>
      </c>
      <c r="K378" s="12" t="s">
        <v>108</v>
      </c>
      <c r="L378" s="15" t="n">
        <v>1220</v>
      </c>
      <c r="M378" s="15" t="n">
        <v>1</v>
      </c>
    </row>
    <row r="379" customFormat="false" ht="15" hidden="false" customHeight="false" outlineLevel="0" collapsed="false">
      <c r="A379" s="12" t="s">
        <v>36</v>
      </c>
      <c r="B379" s="7" t="s">
        <v>37</v>
      </c>
      <c r="C379" s="12" t="s">
        <v>110</v>
      </c>
      <c r="D379" s="7" t="s">
        <v>31</v>
      </c>
      <c r="E379" s="7" t="s">
        <v>31</v>
      </c>
      <c r="F379" s="12" t="n">
        <f aca="false">IF(D379=E379,1,0)</f>
        <v>1</v>
      </c>
      <c r="G379" s="13" t="n">
        <v>0.0061349693251533</v>
      </c>
      <c r="H379" s="14" t="n">
        <v>0.371704131373446</v>
      </c>
      <c r="I379" s="14" t="n">
        <v>0.227785872361442</v>
      </c>
      <c r="J379" s="14" t="n">
        <v>0.400509996265112</v>
      </c>
      <c r="K379" s="12" t="s">
        <v>108</v>
      </c>
      <c r="L379" s="15" t="n">
        <v>1220</v>
      </c>
      <c r="M379" s="15" t="n">
        <v>1</v>
      </c>
    </row>
    <row r="380" customFormat="false" ht="15" hidden="false" customHeight="false" outlineLevel="0" collapsed="false">
      <c r="A380" s="12" t="s">
        <v>38</v>
      </c>
      <c r="B380" s="7" t="s">
        <v>39</v>
      </c>
      <c r="C380" s="12" t="s">
        <v>110</v>
      </c>
      <c r="D380" s="7" t="s">
        <v>31</v>
      </c>
      <c r="E380" s="7" t="s">
        <v>32</v>
      </c>
      <c r="F380" s="12" t="n">
        <f aca="false">IF(D380=E380,1,0)</f>
        <v>0</v>
      </c>
      <c r="G380" s="13" t="n">
        <v>-0.0166865315852204</v>
      </c>
      <c r="H380" s="14" t="n">
        <v>0.371704131373446</v>
      </c>
      <c r="I380" s="14" t="n">
        <v>0.227785872361442</v>
      </c>
      <c r="J380" s="14" t="n">
        <v>0.400509996265112</v>
      </c>
      <c r="K380" s="12" t="s">
        <v>108</v>
      </c>
      <c r="L380" s="15" t="n">
        <v>1220</v>
      </c>
      <c r="M380" s="15" t="n">
        <v>1</v>
      </c>
    </row>
    <row r="381" customFormat="false" ht="15" hidden="false" customHeight="false" outlineLevel="0" collapsed="false">
      <c r="A381" s="12" t="s">
        <v>41</v>
      </c>
      <c r="B381" s="7" t="s">
        <v>42</v>
      </c>
      <c r="C381" s="12" t="s">
        <v>110</v>
      </c>
      <c r="D381" s="7" t="s">
        <v>31</v>
      </c>
      <c r="E381" s="7" t="s">
        <v>40</v>
      </c>
      <c r="F381" s="12" t="n">
        <f aca="false">IF(D381=E381,1,0)</f>
        <v>0</v>
      </c>
      <c r="G381" s="13" t="n">
        <v>0.0025641025641025</v>
      </c>
      <c r="H381" s="14" t="n">
        <v>0.368066769145157</v>
      </c>
      <c r="I381" s="14" t="n">
        <v>0.220457976432943</v>
      </c>
      <c r="J381" s="14" t="n">
        <v>0.411475254421901</v>
      </c>
      <c r="K381" s="12" t="s">
        <v>108</v>
      </c>
      <c r="L381" s="15" t="n">
        <v>1220</v>
      </c>
      <c r="M381" s="15" t="n">
        <v>1</v>
      </c>
    </row>
    <row r="382" customFormat="false" ht="15" hidden="false" customHeight="false" outlineLevel="0" collapsed="false">
      <c r="A382" s="12" t="s">
        <v>43</v>
      </c>
      <c r="B382" s="7" t="s">
        <v>44</v>
      </c>
      <c r="C382" s="12" t="s">
        <v>110</v>
      </c>
      <c r="D382" s="7" t="s">
        <v>31</v>
      </c>
      <c r="E382" s="7" t="s">
        <v>40</v>
      </c>
      <c r="F382" s="12" t="n">
        <f aca="false">IF(D382=E382,1,0)</f>
        <v>0</v>
      </c>
      <c r="G382" s="13" t="n">
        <v>-0.002136752136752</v>
      </c>
      <c r="H382" s="14" t="n">
        <v>0.364533668637062</v>
      </c>
      <c r="I382" s="14" t="n">
        <v>0.218836624875662</v>
      </c>
      <c r="J382" s="14" t="n">
        <v>0.416629706487276</v>
      </c>
      <c r="K382" s="12" t="s">
        <v>108</v>
      </c>
      <c r="L382" s="15" t="n">
        <v>1220</v>
      </c>
      <c r="M382" s="15" t="n">
        <v>1</v>
      </c>
    </row>
    <row r="383" customFormat="false" ht="15" hidden="false" customHeight="false" outlineLevel="0" collapsed="false">
      <c r="A383" s="12" t="s">
        <v>28</v>
      </c>
      <c r="B383" s="7" t="s">
        <v>29</v>
      </c>
      <c r="C383" s="12" t="s">
        <v>111</v>
      </c>
      <c r="D383" s="7" t="s">
        <v>31</v>
      </c>
      <c r="E383" s="7" t="s">
        <v>32</v>
      </c>
      <c r="F383" s="12" t="n">
        <f aca="false">IF(D383=E383,1,0)</f>
        <v>0</v>
      </c>
      <c r="G383" s="13" t="n">
        <v>-0.0526315789473684</v>
      </c>
      <c r="H383" s="14" t="n">
        <v>0.347976257800431</v>
      </c>
      <c r="I383" s="14" t="n">
        <v>0.233200467492325</v>
      </c>
      <c r="J383" s="14" t="n">
        <v>0.418823274707244</v>
      </c>
      <c r="K383" s="12" t="s">
        <v>108</v>
      </c>
      <c r="L383" s="15" t="n">
        <v>1220</v>
      </c>
      <c r="M383" s="15" t="n">
        <v>1</v>
      </c>
    </row>
    <row r="384" customFormat="false" ht="15" hidden="false" customHeight="false" outlineLevel="0" collapsed="false">
      <c r="A384" s="12" t="s">
        <v>34</v>
      </c>
      <c r="B384" s="7" t="s">
        <v>35</v>
      </c>
      <c r="C384" s="12" t="s">
        <v>111</v>
      </c>
      <c r="D384" s="7" t="s">
        <v>31</v>
      </c>
      <c r="E384" s="7" t="s">
        <v>32</v>
      </c>
      <c r="F384" s="12" t="n">
        <f aca="false">IF(D384=E384,1,0)</f>
        <v>0</v>
      </c>
      <c r="G384" s="13" t="n">
        <v>-0.0206611570247934</v>
      </c>
      <c r="H384" s="14" t="n">
        <v>0.363669780268521</v>
      </c>
      <c r="I384" s="14" t="n">
        <v>0.234351291383449</v>
      </c>
      <c r="J384" s="14" t="n">
        <v>0.40197892834803</v>
      </c>
      <c r="K384" s="12" t="s">
        <v>108</v>
      </c>
      <c r="L384" s="15" t="n">
        <v>1220</v>
      </c>
      <c r="M384" s="15" t="n">
        <v>1</v>
      </c>
    </row>
    <row r="385" customFormat="false" ht="15" hidden="false" customHeight="false" outlineLevel="0" collapsed="false">
      <c r="A385" s="12" t="s">
        <v>36</v>
      </c>
      <c r="B385" s="7" t="s">
        <v>37</v>
      </c>
      <c r="C385" s="12" t="s">
        <v>111</v>
      </c>
      <c r="D385" s="7" t="s">
        <v>31</v>
      </c>
      <c r="E385" s="7" t="s">
        <v>32</v>
      </c>
      <c r="F385" s="12" t="n">
        <f aca="false">IF(D385=E385,1,0)</f>
        <v>0</v>
      </c>
      <c r="G385" s="13" t="n">
        <v>-0.008130081300813</v>
      </c>
      <c r="H385" s="14" t="n">
        <v>0.362197123825541</v>
      </c>
      <c r="I385" s="14" t="n">
        <v>0.226307917629572</v>
      </c>
      <c r="J385" s="14" t="n">
        <v>0.411494958544887</v>
      </c>
      <c r="K385" s="12" t="s">
        <v>108</v>
      </c>
      <c r="L385" s="15" t="n">
        <v>1220</v>
      </c>
      <c r="M385" s="15" t="n">
        <v>1</v>
      </c>
    </row>
    <row r="386" customFormat="false" ht="15" hidden="false" customHeight="false" outlineLevel="0" collapsed="false">
      <c r="A386" s="12" t="s">
        <v>38</v>
      </c>
      <c r="B386" s="7" t="s">
        <v>39</v>
      </c>
      <c r="C386" s="12" t="s">
        <v>111</v>
      </c>
      <c r="D386" s="7" t="s">
        <v>31</v>
      </c>
      <c r="E386" s="7" t="s">
        <v>32</v>
      </c>
      <c r="F386" s="12" t="n">
        <f aca="false">IF(D386=E386,1,0)</f>
        <v>0</v>
      </c>
      <c r="G386" s="13" t="n">
        <v>-0.023030303030303</v>
      </c>
      <c r="H386" s="14" t="n">
        <v>0.351006354608551</v>
      </c>
      <c r="I386" s="14" t="n">
        <v>0.226523354431202</v>
      </c>
      <c r="J386" s="14" t="n">
        <v>0.422470290960247</v>
      </c>
      <c r="K386" s="12" t="s">
        <v>108</v>
      </c>
      <c r="L386" s="15" t="n">
        <v>1220</v>
      </c>
      <c r="M386" s="15" t="n">
        <v>1</v>
      </c>
    </row>
    <row r="387" customFormat="false" ht="15" hidden="false" customHeight="false" outlineLevel="0" collapsed="false">
      <c r="A387" s="12" t="s">
        <v>41</v>
      </c>
      <c r="B387" s="7" t="s">
        <v>42</v>
      </c>
      <c r="C387" s="12" t="s">
        <v>111</v>
      </c>
      <c r="D387" s="7" t="s">
        <v>31</v>
      </c>
      <c r="E387" s="7" t="s">
        <v>32</v>
      </c>
      <c r="F387" s="12" t="n">
        <f aca="false">IF(D387=E387,1,0)</f>
        <v>0</v>
      </c>
      <c r="G387" s="13" t="n">
        <v>-0.0383631713554987</v>
      </c>
      <c r="H387" s="14" t="n">
        <v>0.352405578302723</v>
      </c>
      <c r="I387" s="14" t="n">
        <v>0.238499735375631</v>
      </c>
      <c r="J387" s="14" t="n">
        <v>0.409094686321646</v>
      </c>
      <c r="K387" s="12" t="s">
        <v>108</v>
      </c>
      <c r="L387" s="15" t="n">
        <v>1220</v>
      </c>
      <c r="M387" s="15" t="n">
        <v>1</v>
      </c>
    </row>
    <row r="388" customFormat="false" ht="15" hidden="false" customHeight="false" outlineLevel="0" collapsed="false">
      <c r="A388" s="12" t="s">
        <v>43</v>
      </c>
      <c r="B388" s="7" t="s">
        <v>44</v>
      </c>
      <c r="C388" s="12" t="s">
        <v>111</v>
      </c>
      <c r="D388" s="7" t="s">
        <v>31</v>
      </c>
      <c r="E388" s="7" t="s">
        <v>31</v>
      </c>
      <c r="F388" s="12" t="n">
        <f aca="false">IF(D388=E388,1,0)</f>
        <v>1</v>
      </c>
      <c r="G388" s="13" t="n">
        <v>0.0385438972162739</v>
      </c>
      <c r="H388" s="14" t="n">
        <v>0.355318552246967</v>
      </c>
      <c r="I388" s="14" t="n">
        <v>0.222010050231369</v>
      </c>
      <c r="J388" s="14" t="n">
        <v>0.422671397521665</v>
      </c>
      <c r="K388" s="12" t="s">
        <v>108</v>
      </c>
      <c r="L388" s="15" t="n">
        <v>1220</v>
      </c>
      <c r="M388" s="15" t="n">
        <v>1</v>
      </c>
    </row>
    <row r="389" customFormat="false" ht="15" hidden="false" customHeight="false" outlineLevel="0" collapsed="false">
      <c r="A389" s="12" t="s">
        <v>28</v>
      </c>
      <c r="B389" s="7" t="s">
        <v>29</v>
      </c>
      <c r="C389" s="12" t="s">
        <v>112</v>
      </c>
      <c r="D389" s="7" t="s">
        <v>31</v>
      </c>
      <c r="E389" s="7" t="s">
        <v>40</v>
      </c>
      <c r="F389" s="12" t="n">
        <f aca="false">IF(D389=E389,1,0)</f>
        <v>0</v>
      </c>
      <c r="G389" s="13" t="n">
        <v>-0.0026455026455026</v>
      </c>
      <c r="H389" s="14" t="n">
        <v>0.347976257800431</v>
      </c>
      <c r="I389" s="14" t="n">
        <v>0.233200467492325</v>
      </c>
      <c r="J389" s="14" t="n">
        <v>0.418823274707244</v>
      </c>
      <c r="K389" s="12" t="s">
        <v>108</v>
      </c>
      <c r="L389" s="15" t="n">
        <v>1220</v>
      </c>
      <c r="M389" s="15" t="n">
        <v>1</v>
      </c>
    </row>
    <row r="390" customFormat="false" ht="15" hidden="false" customHeight="false" outlineLevel="0" collapsed="false">
      <c r="A390" s="12" t="s">
        <v>34</v>
      </c>
      <c r="B390" s="7" t="s">
        <v>35</v>
      </c>
      <c r="C390" s="12" t="s">
        <v>112</v>
      </c>
      <c r="D390" s="7" t="s">
        <v>31</v>
      </c>
      <c r="E390" s="7" t="s">
        <v>40</v>
      </c>
      <c r="F390" s="12" t="n">
        <f aca="false">IF(D390=E390,1,0)</f>
        <v>0</v>
      </c>
      <c r="G390" s="13" t="n">
        <v>0.0021097046413502</v>
      </c>
      <c r="H390" s="14" t="n">
        <v>0.367857956269934</v>
      </c>
      <c r="I390" s="14" t="n">
        <v>0.237050180616829</v>
      </c>
      <c r="J390" s="14" t="n">
        <v>0.395091863113238</v>
      </c>
      <c r="K390" s="12" t="s">
        <v>108</v>
      </c>
      <c r="L390" s="15" t="n">
        <v>1220</v>
      </c>
      <c r="M390" s="15" t="n">
        <v>1</v>
      </c>
    </row>
    <row r="391" customFormat="false" ht="15" hidden="false" customHeight="false" outlineLevel="0" collapsed="false">
      <c r="A391" s="12" t="s">
        <v>36</v>
      </c>
      <c r="B391" s="7" t="s">
        <v>37</v>
      </c>
      <c r="C391" s="12" t="s">
        <v>112</v>
      </c>
      <c r="D391" s="7" t="s">
        <v>31</v>
      </c>
      <c r="E391" s="7" t="s">
        <v>31</v>
      </c>
      <c r="F391" s="12" t="n">
        <f aca="false">IF(D391=E391,1,0)</f>
        <v>1</v>
      </c>
      <c r="G391" s="13" t="n">
        <v>0.0102459016393443</v>
      </c>
      <c r="H391" s="14" t="n">
        <v>0.362197123825541</v>
      </c>
      <c r="I391" s="14" t="n">
        <v>0.226307917629572</v>
      </c>
      <c r="J391" s="14" t="n">
        <v>0.411494958544887</v>
      </c>
      <c r="K391" s="12" t="s">
        <v>108</v>
      </c>
      <c r="L391" s="15" t="n">
        <v>1220</v>
      </c>
      <c r="M391" s="15" t="n">
        <v>1</v>
      </c>
    </row>
    <row r="392" customFormat="false" ht="15" hidden="false" customHeight="false" outlineLevel="0" collapsed="false">
      <c r="A392" s="12" t="s">
        <v>38</v>
      </c>
      <c r="B392" s="7" t="s">
        <v>39</v>
      </c>
      <c r="C392" s="12" t="s">
        <v>112</v>
      </c>
      <c r="D392" s="7" t="s">
        <v>31</v>
      </c>
      <c r="E392" s="7" t="s">
        <v>32</v>
      </c>
      <c r="F392" s="12" t="n">
        <f aca="false">IF(D392=E392,1,0)</f>
        <v>0</v>
      </c>
      <c r="G392" s="13" t="n">
        <v>-0.0086848635235732</v>
      </c>
      <c r="H392" s="14" t="n">
        <v>0.352635153930375</v>
      </c>
      <c r="I392" s="14" t="n">
        <v>0.222934136688539</v>
      </c>
      <c r="J392" s="14" t="n">
        <v>0.424430709381087</v>
      </c>
      <c r="K392" s="12" t="s">
        <v>108</v>
      </c>
      <c r="L392" s="15" t="n">
        <v>1220</v>
      </c>
      <c r="M392" s="15" t="n">
        <v>1</v>
      </c>
    </row>
    <row r="393" customFormat="false" ht="15" hidden="false" customHeight="false" outlineLevel="0" collapsed="false">
      <c r="A393" s="12" t="s">
        <v>41</v>
      </c>
      <c r="B393" s="7" t="s">
        <v>42</v>
      </c>
      <c r="C393" s="12" t="s">
        <v>112</v>
      </c>
      <c r="D393" s="7" t="s">
        <v>31</v>
      </c>
      <c r="E393" s="7" t="s">
        <v>31</v>
      </c>
      <c r="F393" s="12" t="n">
        <f aca="false">IF(D393=E393,1,0)</f>
        <v>1</v>
      </c>
      <c r="G393" s="13" t="n">
        <v>0.0425531914893617</v>
      </c>
      <c r="H393" s="14" t="n">
        <v>0.368992008891332</v>
      </c>
      <c r="I393" s="14" t="n">
        <v>0.218793365187009</v>
      </c>
      <c r="J393" s="14" t="n">
        <v>0.412214625921659</v>
      </c>
      <c r="K393" s="12" t="s">
        <v>108</v>
      </c>
      <c r="L393" s="15" t="n">
        <v>1220</v>
      </c>
      <c r="M393" s="15" t="n">
        <v>1</v>
      </c>
    </row>
    <row r="394" customFormat="false" ht="15" hidden="false" customHeight="false" outlineLevel="0" collapsed="false">
      <c r="A394" s="12" t="s">
        <v>43</v>
      </c>
      <c r="B394" s="7" t="s">
        <v>44</v>
      </c>
      <c r="C394" s="12" t="s">
        <v>112</v>
      </c>
      <c r="D394" s="7" t="s">
        <v>31</v>
      </c>
      <c r="E394" s="7" t="s">
        <v>31</v>
      </c>
      <c r="F394" s="12" t="n">
        <f aca="false">IF(D394=E394,1,0)</f>
        <v>1</v>
      </c>
      <c r="G394" s="13" t="n">
        <v>0.0103092783505154</v>
      </c>
      <c r="H394" s="14" t="n">
        <v>0.36141476873986</v>
      </c>
      <c r="I394" s="14" t="n">
        <v>0.228484564166331</v>
      </c>
      <c r="J394" s="14" t="n">
        <v>0.410100667093809</v>
      </c>
      <c r="K394" s="12" t="s">
        <v>108</v>
      </c>
      <c r="L394" s="15" t="n">
        <v>1220</v>
      </c>
      <c r="M394" s="15" t="n">
        <v>1</v>
      </c>
    </row>
    <row r="395" customFormat="false" ht="15" hidden="false" customHeight="false" outlineLevel="0" collapsed="false">
      <c r="A395" s="12" t="s">
        <v>28</v>
      </c>
      <c r="B395" s="7" t="s">
        <v>29</v>
      </c>
      <c r="C395" s="12" t="s">
        <v>113</v>
      </c>
      <c r="D395" s="7" t="s">
        <v>31</v>
      </c>
      <c r="E395" s="7" t="s">
        <v>40</v>
      </c>
      <c r="F395" s="12" t="n">
        <f aca="false">IF(D395=E395,1,0)</f>
        <v>0</v>
      </c>
      <c r="G395" s="13" t="n">
        <v>-0.0026525198938992</v>
      </c>
      <c r="H395" s="14" t="n">
        <v>0.357484068408151</v>
      </c>
      <c r="I395" s="14" t="n">
        <v>0.229799938132659</v>
      </c>
      <c r="J395" s="14" t="n">
        <v>0.412715993459189</v>
      </c>
      <c r="K395" s="12" t="s">
        <v>108</v>
      </c>
      <c r="L395" s="15" t="n">
        <v>1220</v>
      </c>
      <c r="M395" s="15" t="n">
        <v>1</v>
      </c>
    </row>
    <row r="396" customFormat="false" ht="15" hidden="false" customHeight="false" outlineLevel="0" collapsed="false">
      <c r="A396" s="12" t="s">
        <v>34</v>
      </c>
      <c r="B396" s="7" t="s">
        <v>35</v>
      </c>
      <c r="C396" s="12" t="s">
        <v>113</v>
      </c>
      <c r="D396" s="7" t="s">
        <v>31</v>
      </c>
      <c r="E396" s="7" t="s">
        <v>40</v>
      </c>
      <c r="F396" s="12" t="n">
        <f aca="false">IF(D396=E396,1,0)</f>
        <v>0</v>
      </c>
      <c r="G396" s="13" t="n">
        <v>0</v>
      </c>
      <c r="H396" s="14" t="n">
        <v>0.366132805792707</v>
      </c>
      <c r="I396" s="14" t="n">
        <v>0.235359568593246</v>
      </c>
      <c r="J396" s="14" t="n">
        <v>0.398507625614047</v>
      </c>
      <c r="K396" s="12" t="s">
        <v>108</v>
      </c>
      <c r="L396" s="15" t="n">
        <v>1220</v>
      </c>
      <c r="M396" s="15" t="n">
        <v>1</v>
      </c>
    </row>
    <row r="397" customFormat="false" ht="15" hidden="false" customHeight="false" outlineLevel="0" collapsed="false">
      <c r="A397" s="12" t="s">
        <v>36</v>
      </c>
      <c r="B397" s="7" t="s">
        <v>37</v>
      </c>
      <c r="C397" s="12" t="s">
        <v>113</v>
      </c>
      <c r="D397" s="7" t="s">
        <v>31</v>
      </c>
      <c r="E397" s="7" t="s">
        <v>32</v>
      </c>
      <c r="F397" s="12" t="n">
        <f aca="false">IF(D397=E397,1,0)</f>
        <v>0</v>
      </c>
      <c r="G397" s="13" t="n">
        <v>-0.0202839756592292</v>
      </c>
      <c r="H397" s="14" t="n">
        <v>0.366831077406231</v>
      </c>
      <c r="I397" s="14" t="n">
        <v>0.226546619371422</v>
      </c>
      <c r="J397" s="14" t="n">
        <v>0.406622303222347</v>
      </c>
      <c r="K397" s="12" t="s">
        <v>108</v>
      </c>
      <c r="L397" s="15" t="n">
        <v>1220</v>
      </c>
      <c r="M397" s="15" t="n">
        <v>1</v>
      </c>
    </row>
    <row r="398" customFormat="false" ht="15" hidden="false" customHeight="false" outlineLevel="0" collapsed="false">
      <c r="A398" s="12" t="s">
        <v>38</v>
      </c>
      <c r="B398" s="7" t="s">
        <v>39</v>
      </c>
      <c r="C398" s="12" t="s">
        <v>113</v>
      </c>
      <c r="D398" s="7" t="s">
        <v>31</v>
      </c>
      <c r="E398" s="7" t="s">
        <v>32</v>
      </c>
      <c r="F398" s="12" t="n">
        <f aca="false">IF(D398=E398,1,0)</f>
        <v>0</v>
      </c>
      <c r="G398" s="13" t="n">
        <v>-0.0175219023779724</v>
      </c>
      <c r="H398" s="14" t="n">
        <v>0.365744368667764</v>
      </c>
      <c r="I398" s="14" t="n">
        <v>0.226935441662214</v>
      </c>
      <c r="J398" s="14" t="n">
        <v>0.407320189670022</v>
      </c>
      <c r="K398" s="12" t="s">
        <v>108</v>
      </c>
      <c r="L398" s="15" t="n">
        <v>1220</v>
      </c>
      <c r="M398" s="15" t="n">
        <v>1</v>
      </c>
    </row>
    <row r="399" customFormat="false" ht="15" hidden="false" customHeight="false" outlineLevel="0" collapsed="false">
      <c r="A399" s="12" t="s">
        <v>41</v>
      </c>
      <c r="B399" s="7" t="s">
        <v>42</v>
      </c>
      <c r="C399" s="12" t="s">
        <v>113</v>
      </c>
      <c r="D399" s="7" t="s">
        <v>31</v>
      </c>
      <c r="E399" s="7" t="s">
        <v>32</v>
      </c>
      <c r="F399" s="12" t="n">
        <f aca="false">IF(D399=E399,1,0)</f>
        <v>0</v>
      </c>
      <c r="G399" s="13" t="n">
        <v>-0.0076530612244898</v>
      </c>
      <c r="H399" s="14" t="n">
        <v>0.361907150586243</v>
      </c>
      <c r="I399" s="14" t="n">
        <v>0.23692858556637</v>
      </c>
      <c r="J399" s="14" t="n">
        <v>0.401164263847388</v>
      </c>
      <c r="K399" s="12" t="s">
        <v>108</v>
      </c>
      <c r="L399" s="15" t="n">
        <v>1220</v>
      </c>
      <c r="M399" s="15" t="n">
        <v>1</v>
      </c>
    </row>
    <row r="400" customFormat="false" ht="15" hidden="false" customHeight="false" outlineLevel="0" collapsed="false">
      <c r="A400" s="12" t="s">
        <v>43</v>
      </c>
      <c r="B400" s="7" t="s">
        <v>44</v>
      </c>
      <c r="C400" s="12" t="s">
        <v>113</v>
      </c>
      <c r="D400" s="7" t="s">
        <v>31</v>
      </c>
      <c r="E400" s="7" t="s">
        <v>32</v>
      </c>
      <c r="F400" s="12" t="n">
        <f aca="false">IF(D400=E400,1,0)</f>
        <v>0</v>
      </c>
      <c r="G400" s="13" t="n">
        <v>-0.0173469387755101</v>
      </c>
      <c r="H400" s="14" t="n">
        <v>0.371080790388949</v>
      </c>
      <c r="I400" s="14" t="n">
        <v>0.225026080262222</v>
      </c>
      <c r="J400" s="14" t="n">
        <v>0.403893129348829</v>
      </c>
      <c r="K400" s="12" t="s">
        <v>108</v>
      </c>
      <c r="L400" s="15" t="n">
        <v>1220</v>
      </c>
      <c r="M400" s="15" t="n">
        <v>1</v>
      </c>
    </row>
    <row r="401" customFormat="false" ht="15" hidden="false" customHeight="false" outlineLevel="0" collapsed="false">
      <c r="A401" s="12" t="s">
        <v>28</v>
      </c>
      <c r="B401" s="7" t="s">
        <v>29</v>
      </c>
      <c r="C401" s="12" t="s">
        <v>114</v>
      </c>
      <c r="D401" s="7" t="s">
        <v>31</v>
      </c>
      <c r="E401" s="7" t="s">
        <v>31</v>
      </c>
      <c r="F401" s="12" t="n">
        <f aca="false">IF(D401=E401,1,0)</f>
        <v>1</v>
      </c>
      <c r="G401" s="13" t="n">
        <v>0.0053191489361701</v>
      </c>
      <c r="H401" s="14" t="n">
        <v>0.364238480095695</v>
      </c>
      <c r="I401" s="14" t="n">
        <v>0.234141847395446</v>
      </c>
      <c r="J401" s="14" t="n">
        <v>0.401619672508859</v>
      </c>
      <c r="K401" s="12" t="s">
        <v>108</v>
      </c>
      <c r="L401" s="15" t="n">
        <v>1220</v>
      </c>
      <c r="M401" s="15" t="n">
        <v>1</v>
      </c>
    </row>
    <row r="402" customFormat="false" ht="15" hidden="false" customHeight="false" outlineLevel="0" collapsed="false">
      <c r="A402" s="12" t="s">
        <v>34</v>
      </c>
      <c r="B402" s="7" t="s">
        <v>35</v>
      </c>
      <c r="C402" s="12" t="s">
        <v>114</v>
      </c>
      <c r="D402" s="7" t="s">
        <v>31</v>
      </c>
      <c r="E402" s="7" t="s">
        <v>40</v>
      </c>
      <c r="F402" s="12" t="n">
        <f aca="false">IF(D402=E402,1,0)</f>
        <v>0</v>
      </c>
      <c r="G402" s="13" t="n">
        <v>-0.0042105263157894</v>
      </c>
      <c r="H402" s="14" t="n">
        <v>0.366132805792707</v>
      </c>
      <c r="I402" s="14" t="n">
        <v>0.235359568593246</v>
      </c>
      <c r="J402" s="14" t="n">
        <v>0.398507625614047</v>
      </c>
      <c r="K402" s="12" t="s">
        <v>108</v>
      </c>
      <c r="L402" s="15" t="n">
        <v>1220</v>
      </c>
      <c r="M402" s="15" t="n">
        <v>1</v>
      </c>
    </row>
    <row r="403" customFormat="false" ht="15" hidden="false" customHeight="false" outlineLevel="0" collapsed="false">
      <c r="A403" s="12" t="s">
        <v>36</v>
      </c>
      <c r="B403" s="7" t="s">
        <v>37</v>
      </c>
      <c r="C403" s="12" t="s">
        <v>114</v>
      </c>
      <c r="D403" s="7" t="s">
        <v>31</v>
      </c>
      <c r="E403" s="7" t="s">
        <v>31</v>
      </c>
      <c r="F403" s="12" t="n">
        <f aca="false">IF(D403=E403,1,0)</f>
        <v>1</v>
      </c>
      <c r="G403" s="13" t="n">
        <v>0.0103519668737059</v>
      </c>
      <c r="H403" s="14" t="n">
        <v>0.363810427451492</v>
      </c>
      <c r="I403" s="14" t="n">
        <v>0.225735478404646</v>
      </c>
      <c r="J403" s="14" t="n">
        <v>0.410454094143863</v>
      </c>
      <c r="K403" s="12" t="s">
        <v>108</v>
      </c>
      <c r="L403" s="15" t="n">
        <v>1220</v>
      </c>
      <c r="M403" s="15" t="n">
        <v>1</v>
      </c>
    </row>
    <row r="404" customFormat="false" ht="15" hidden="false" customHeight="false" outlineLevel="0" collapsed="false">
      <c r="A404" s="12" t="s">
        <v>38</v>
      </c>
      <c r="B404" s="7" t="s">
        <v>39</v>
      </c>
      <c r="C404" s="12" t="s">
        <v>114</v>
      </c>
      <c r="D404" s="7" t="s">
        <v>31</v>
      </c>
      <c r="E404" s="7" t="s">
        <v>32</v>
      </c>
      <c r="F404" s="12" t="n">
        <f aca="false">IF(D404=E404,1,0)</f>
        <v>0</v>
      </c>
      <c r="G404" s="13" t="n">
        <v>-0.0254777070063694</v>
      </c>
      <c r="H404" s="14" t="n">
        <v>0.356918362805351</v>
      </c>
      <c r="I404" s="14" t="n">
        <v>0.2214591207395</v>
      </c>
      <c r="J404" s="14" t="n">
        <v>0.421622516455149</v>
      </c>
      <c r="K404" s="12" t="s">
        <v>108</v>
      </c>
      <c r="L404" s="15" t="n">
        <v>1220</v>
      </c>
      <c r="M404" s="15" t="n">
        <v>1</v>
      </c>
    </row>
    <row r="405" customFormat="false" ht="15" hidden="false" customHeight="false" outlineLevel="0" collapsed="false">
      <c r="A405" s="12" t="s">
        <v>41</v>
      </c>
      <c r="B405" s="7" t="s">
        <v>42</v>
      </c>
      <c r="C405" s="12" t="s">
        <v>114</v>
      </c>
      <c r="D405" s="7" t="s">
        <v>31</v>
      </c>
      <c r="E405" s="7" t="s">
        <v>40</v>
      </c>
      <c r="F405" s="12" t="n">
        <f aca="false">IF(D405=E405,1,0)</f>
        <v>0</v>
      </c>
      <c r="G405" s="13" t="n">
        <v>0.0025706940874035</v>
      </c>
      <c r="H405" s="14" t="n">
        <v>0.356643621415972</v>
      </c>
      <c r="I405" s="14" t="n">
        <v>0.233482727922</v>
      </c>
      <c r="J405" s="14" t="n">
        <v>0.409873650662029</v>
      </c>
      <c r="K405" s="12" t="s">
        <v>108</v>
      </c>
      <c r="L405" s="15" t="n">
        <v>1220</v>
      </c>
      <c r="M405" s="15" t="n">
        <v>1</v>
      </c>
    </row>
    <row r="406" customFormat="false" ht="15" hidden="false" customHeight="false" outlineLevel="0" collapsed="false">
      <c r="A406" s="12" t="s">
        <v>43</v>
      </c>
      <c r="B406" s="7" t="s">
        <v>44</v>
      </c>
      <c r="C406" s="12" t="s">
        <v>114</v>
      </c>
      <c r="D406" s="7" t="s">
        <v>31</v>
      </c>
      <c r="E406" s="7" t="s">
        <v>40</v>
      </c>
      <c r="F406" s="12" t="n">
        <f aca="false">IF(D406=E406,1,0)</f>
        <v>0</v>
      </c>
      <c r="G406" s="13" t="n">
        <v>0.0041536863966771</v>
      </c>
      <c r="H406" s="14" t="n">
        <v>0.369350783208608</v>
      </c>
      <c r="I406" s="14" t="n">
        <v>0.228639068270353</v>
      </c>
      <c r="J406" s="14" t="n">
        <v>0.402010148521039</v>
      </c>
      <c r="K406" s="12" t="s">
        <v>108</v>
      </c>
      <c r="L406" s="15" t="n">
        <v>1220</v>
      </c>
      <c r="M406" s="15" t="n">
        <v>1</v>
      </c>
    </row>
    <row r="407" customFormat="false" ht="15" hidden="false" customHeight="false" outlineLevel="0" collapsed="false">
      <c r="A407" s="12" t="s">
        <v>28</v>
      </c>
      <c r="B407" s="7" t="s">
        <v>29</v>
      </c>
      <c r="C407" s="12" t="s">
        <v>115</v>
      </c>
      <c r="D407" s="7" t="s">
        <v>31</v>
      </c>
      <c r="E407" s="7" t="s">
        <v>32</v>
      </c>
      <c r="F407" s="12" t="n">
        <f aca="false">IF(D407=E407,1,0)</f>
        <v>0</v>
      </c>
      <c r="G407" s="13" t="n">
        <v>-0.0185185185185184</v>
      </c>
      <c r="H407" s="14" t="n">
        <v>0.354650184024435</v>
      </c>
      <c r="I407" s="14" t="n">
        <v>0.237673079288558</v>
      </c>
      <c r="J407" s="14" t="n">
        <v>0.407676736687008</v>
      </c>
      <c r="K407" s="12" t="s">
        <v>108</v>
      </c>
      <c r="L407" s="15" t="n">
        <v>1220</v>
      </c>
      <c r="M407" s="15" t="n">
        <v>1</v>
      </c>
    </row>
    <row r="408" customFormat="false" ht="15" hidden="false" customHeight="false" outlineLevel="0" collapsed="false">
      <c r="A408" s="12" t="s">
        <v>34</v>
      </c>
      <c r="B408" s="7" t="s">
        <v>35</v>
      </c>
      <c r="C408" s="12" t="s">
        <v>115</v>
      </c>
      <c r="D408" s="7" t="s">
        <v>31</v>
      </c>
      <c r="E408" s="7" t="s">
        <v>40</v>
      </c>
      <c r="F408" s="12" t="n">
        <f aca="false">IF(D408=E408,1,0)</f>
        <v>0</v>
      </c>
      <c r="G408" s="13" t="n">
        <v>-0.0042283298097252</v>
      </c>
      <c r="H408" s="14" t="n">
        <v>0.352405578302723</v>
      </c>
      <c r="I408" s="14" t="n">
        <v>0.238499735375631</v>
      </c>
      <c r="J408" s="14" t="n">
        <v>0.409094686321646</v>
      </c>
      <c r="K408" s="12" t="s">
        <v>108</v>
      </c>
      <c r="L408" s="15" t="n">
        <v>1220</v>
      </c>
      <c r="M408" s="15" t="n">
        <v>1</v>
      </c>
    </row>
    <row r="409" customFormat="false" ht="15" hidden="false" customHeight="false" outlineLevel="0" collapsed="false">
      <c r="A409" s="12" t="s">
        <v>36</v>
      </c>
      <c r="B409" s="7" t="s">
        <v>37</v>
      </c>
      <c r="C409" s="12" t="s">
        <v>115</v>
      </c>
      <c r="D409" s="7" t="s">
        <v>31</v>
      </c>
      <c r="E409" s="7" t="s">
        <v>32</v>
      </c>
      <c r="F409" s="12" t="n">
        <f aca="false">IF(D409=E409,1,0)</f>
        <v>0</v>
      </c>
      <c r="G409" s="13" t="n">
        <v>-0.0081967213114754</v>
      </c>
      <c r="H409" s="14" t="n">
        <v>0.362197123825541</v>
      </c>
      <c r="I409" s="14" t="n">
        <v>0.226307917629572</v>
      </c>
      <c r="J409" s="14" t="n">
        <v>0.411494958544887</v>
      </c>
      <c r="K409" s="12" t="s">
        <v>108</v>
      </c>
      <c r="L409" s="15" t="n">
        <v>1220</v>
      </c>
      <c r="M409" s="15" t="n">
        <v>1</v>
      </c>
    </row>
    <row r="410" customFormat="false" ht="15" hidden="false" customHeight="false" outlineLevel="0" collapsed="false">
      <c r="A410" s="12" t="s">
        <v>38</v>
      </c>
      <c r="B410" s="7" t="s">
        <v>39</v>
      </c>
      <c r="C410" s="12" t="s">
        <v>115</v>
      </c>
      <c r="D410" s="7" t="s">
        <v>31</v>
      </c>
      <c r="E410" s="7" t="s">
        <v>32</v>
      </c>
      <c r="F410" s="12" t="n">
        <f aca="false">IF(D410=E410,1,0)</f>
        <v>0</v>
      </c>
      <c r="G410" s="13" t="n">
        <v>-0.0431372549019607</v>
      </c>
      <c r="H410" s="14" t="n">
        <v>0.363748157791259</v>
      </c>
      <c r="I410" s="14" t="n">
        <v>0.229959720763551</v>
      </c>
      <c r="J410" s="14" t="n">
        <v>0.406292121445191</v>
      </c>
      <c r="K410" s="12" t="s">
        <v>108</v>
      </c>
      <c r="L410" s="15" t="n">
        <v>1220</v>
      </c>
      <c r="M410" s="15" t="n">
        <v>1</v>
      </c>
    </row>
    <row r="411" customFormat="false" ht="15" hidden="false" customHeight="false" outlineLevel="0" collapsed="false">
      <c r="A411" s="12" t="s">
        <v>41</v>
      </c>
      <c r="B411" s="7" t="s">
        <v>42</v>
      </c>
      <c r="C411" s="12" t="s">
        <v>115</v>
      </c>
      <c r="D411" s="7" t="s">
        <v>31</v>
      </c>
      <c r="E411" s="7" t="s">
        <v>40</v>
      </c>
      <c r="F411" s="12" t="n">
        <f aca="false">IF(D411=E411,1,0)</f>
        <v>0</v>
      </c>
      <c r="G411" s="13" t="n">
        <v>-0.0025641025641025</v>
      </c>
      <c r="H411" s="14" t="n">
        <v>0.354272656474412</v>
      </c>
      <c r="I411" s="14" t="n">
        <v>0.239763329590053</v>
      </c>
      <c r="J411" s="14" t="n">
        <v>0.405964013935535</v>
      </c>
      <c r="K411" s="12" t="s">
        <v>108</v>
      </c>
      <c r="L411" s="15" t="n">
        <v>1220</v>
      </c>
      <c r="M411" s="15" t="n">
        <v>1</v>
      </c>
    </row>
    <row r="412" customFormat="false" ht="15" hidden="false" customHeight="false" outlineLevel="0" collapsed="false">
      <c r="A412" s="12" t="s">
        <v>43</v>
      </c>
      <c r="B412" s="7" t="s">
        <v>44</v>
      </c>
      <c r="C412" s="12" t="s">
        <v>115</v>
      </c>
      <c r="D412" s="7" t="s">
        <v>31</v>
      </c>
      <c r="E412" s="7" t="s">
        <v>32</v>
      </c>
      <c r="F412" s="12" t="n">
        <f aca="false">IF(D412=E412,1,0)</f>
        <v>0</v>
      </c>
      <c r="G412" s="13" t="n">
        <v>-0.0062047569803517</v>
      </c>
      <c r="H412" s="14" t="n">
        <v>0.358738009624845</v>
      </c>
      <c r="I412" s="14" t="n">
        <v>0.224146594747342</v>
      </c>
      <c r="J412" s="14" t="n">
        <v>0.417115395627813</v>
      </c>
      <c r="K412" s="12" t="s">
        <v>108</v>
      </c>
      <c r="L412" s="15" t="n">
        <v>1220</v>
      </c>
      <c r="M412" s="1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7" min="6" style="0" width="11"/>
    <col collapsed="false" customWidth="true" hidden="false" outlineLevel="0" max="10" min="8" style="0" width="9"/>
    <col collapsed="false" customWidth="true" hidden="false" outlineLevel="0" max="13" min="11" style="0" width="10"/>
  </cols>
  <sheetData>
    <row r="1" customFormat="false" ht="30.55" hidden="false" customHeight="fals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11" t="s">
        <v>22</v>
      </c>
      <c r="I1" s="11" t="s">
        <v>23</v>
      </c>
      <c r="J1" s="11" t="s">
        <v>24</v>
      </c>
      <c r="K1" s="6" t="s">
        <v>25</v>
      </c>
      <c r="L1" s="6" t="s">
        <v>26</v>
      </c>
      <c r="M1" s="6" t="s">
        <v>27</v>
      </c>
    </row>
    <row r="2" customFormat="false" ht="15" hidden="false" customHeight="false" outlineLevel="0" collapsed="false">
      <c r="A2" s="12" t="s">
        <v>28</v>
      </c>
      <c r="B2" s="7" t="s">
        <v>29</v>
      </c>
      <c r="C2" s="12" t="s">
        <v>30</v>
      </c>
      <c r="D2" s="7" t="s">
        <v>31</v>
      </c>
      <c r="E2" s="7" t="s">
        <v>31</v>
      </c>
      <c r="F2" s="12" t="n">
        <f aca="false">IF(D2=E2,1,0)</f>
        <v>1</v>
      </c>
      <c r="G2" s="13" t="n">
        <v>0.176271186440678</v>
      </c>
      <c r="H2" s="14" t="n">
        <v>0.247005455337777</v>
      </c>
      <c r="I2" s="14" t="n">
        <v>0.211826281235448</v>
      </c>
      <c r="J2" s="14" t="n">
        <v>0.541168263426775</v>
      </c>
      <c r="K2" s="12" t="s">
        <v>33</v>
      </c>
      <c r="L2" s="15" t="n">
        <v>833</v>
      </c>
      <c r="M2" s="15" t="n">
        <v>7</v>
      </c>
    </row>
    <row r="3" customFormat="false" ht="15" hidden="false" customHeight="false" outlineLevel="0" collapsed="false">
      <c r="A3" s="12" t="s">
        <v>34</v>
      </c>
      <c r="B3" s="7" t="s">
        <v>35</v>
      </c>
      <c r="C3" s="12" t="s">
        <v>30</v>
      </c>
      <c r="D3" s="7" t="s">
        <v>31</v>
      </c>
      <c r="E3" s="7" t="s">
        <v>31</v>
      </c>
      <c r="F3" s="12" t="n">
        <f aca="false">IF(D3=E3,1,0)</f>
        <v>1</v>
      </c>
      <c r="G3" s="13" t="n">
        <v>0.0177664974619289</v>
      </c>
      <c r="H3" s="14" t="n">
        <v>0.239742821288671</v>
      </c>
      <c r="I3" s="14" t="n">
        <v>0.262127281386459</v>
      </c>
      <c r="J3" s="14" t="n">
        <v>0.49812989732487</v>
      </c>
      <c r="K3" s="12" t="s">
        <v>33</v>
      </c>
      <c r="L3" s="15" t="n">
        <v>833</v>
      </c>
      <c r="M3" s="15" t="n">
        <v>7</v>
      </c>
    </row>
    <row r="4" customFormat="false" ht="15" hidden="false" customHeight="false" outlineLevel="0" collapsed="false">
      <c r="A4" s="12" t="s">
        <v>36</v>
      </c>
      <c r="B4" s="7" t="s">
        <v>37</v>
      </c>
      <c r="C4" s="12" t="s">
        <v>30</v>
      </c>
      <c r="D4" s="7" t="s">
        <v>31</v>
      </c>
      <c r="E4" s="7" t="s">
        <v>31</v>
      </c>
      <c r="F4" s="12" t="n">
        <f aca="false">IF(D4=E4,1,0)</f>
        <v>1</v>
      </c>
      <c r="G4" s="13" t="n">
        <v>0.0781671159029648</v>
      </c>
      <c r="H4" s="14" t="n">
        <v>0.30014930527426</v>
      </c>
      <c r="I4" s="14" t="n">
        <v>0.259130807006842</v>
      </c>
      <c r="J4" s="14" t="n">
        <v>0.440719887718899</v>
      </c>
      <c r="K4" s="12" t="s">
        <v>33</v>
      </c>
      <c r="L4" s="15" t="n">
        <v>833</v>
      </c>
      <c r="M4" s="15" t="n">
        <v>7</v>
      </c>
    </row>
    <row r="5" customFormat="false" ht="15" hidden="false" customHeight="false" outlineLevel="0" collapsed="false">
      <c r="A5" s="12" t="s">
        <v>38</v>
      </c>
      <c r="B5" s="7" t="s">
        <v>39</v>
      </c>
      <c r="C5" s="12" t="s">
        <v>30</v>
      </c>
      <c r="D5" s="7" t="s">
        <v>31</v>
      </c>
      <c r="E5" s="7" t="s">
        <v>31</v>
      </c>
      <c r="F5" s="12" t="n">
        <f aca="false">IF(D5=E5,1,0)</f>
        <v>1</v>
      </c>
      <c r="G5" s="13" t="n">
        <v>0.0750853242320819</v>
      </c>
      <c r="H5" s="14" t="n">
        <v>0.246211730435041</v>
      </c>
      <c r="I5" s="14" t="n">
        <v>0.269509710091043</v>
      </c>
      <c r="J5" s="14" t="n">
        <v>0.484278559473916</v>
      </c>
      <c r="K5" s="12" t="s">
        <v>33</v>
      </c>
      <c r="L5" s="15" t="n">
        <v>833</v>
      </c>
      <c r="M5" s="15" t="n">
        <v>7</v>
      </c>
    </row>
    <row r="6" customFormat="false" ht="15" hidden="false" customHeight="false" outlineLevel="0" collapsed="false">
      <c r="A6" s="12" t="s">
        <v>41</v>
      </c>
      <c r="B6" s="7" t="s">
        <v>42</v>
      </c>
      <c r="C6" s="12" t="s">
        <v>30</v>
      </c>
      <c r="D6" s="7" t="s">
        <v>31</v>
      </c>
      <c r="E6" s="7" t="s">
        <v>40</v>
      </c>
      <c r="F6" s="12" t="n">
        <f aca="false">IF(D6=E6,1,0)</f>
        <v>0</v>
      </c>
      <c r="G6" s="13" t="n">
        <v>-0.0097799511002445</v>
      </c>
      <c r="H6" s="14" t="n">
        <v>0.284068570973653</v>
      </c>
      <c r="I6" s="14" t="n">
        <v>0.260931840546647</v>
      </c>
      <c r="J6" s="14" t="n">
        <v>0.4549995884797</v>
      </c>
      <c r="K6" s="12" t="s">
        <v>33</v>
      </c>
      <c r="L6" s="15" t="n">
        <v>833</v>
      </c>
      <c r="M6" s="15" t="n">
        <v>7</v>
      </c>
    </row>
    <row r="7" customFormat="false" ht="15" hidden="false" customHeight="false" outlineLevel="0" collapsed="false">
      <c r="A7" s="12" t="s">
        <v>43</v>
      </c>
      <c r="B7" s="7" t="s">
        <v>44</v>
      </c>
      <c r="C7" s="12" t="s">
        <v>30</v>
      </c>
      <c r="D7" s="7" t="s">
        <v>31</v>
      </c>
      <c r="E7" s="7" t="s">
        <v>31</v>
      </c>
      <c r="F7" s="12" t="n">
        <f aca="false">IF(D7=E7,1,0)</f>
        <v>1</v>
      </c>
      <c r="G7" s="13" t="n">
        <v>0.0139082058414463</v>
      </c>
      <c r="H7" s="14" t="n">
        <v>0.274196986531408</v>
      </c>
      <c r="I7" s="14" t="n">
        <v>0.246609479038613</v>
      </c>
      <c r="J7" s="14" t="n">
        <v>0.479193534429979</v>
      </c>
      <c r="K7" s="12" t="s">
        <v>33</v>
      </c>
      <c r="L7" s="15" t="n">
        <v>833</v>
      </c>
      <c r="M7" s="15" t="n">
        <v>7</v>
      </c>
    </row>
    <row r="8" customFormat="false" ht="15" hidden="false" customHeight="false" outlineLevel="0" collapsed="false">
      <c r="A8" s="12" t="s">
        <v>28</v>
      </c>
      <c r="B8" s="7" t="s">
        <v>29</v>
      </c>
      <c r="C8" s="12" t="s">
        <v>45</v>
      </c>
      <c r="D8" s="7" t="s">
        <v>31</v>
      </c>
      <c r="E8" s="7" t="s">
        <v>31</v>
      </c>
      <c r="F8" s="12" t="n">
        <f aca="false">IF(D8=E8,1,0)</f>
        <v>1</v>
      </c>
      <c r="G8" s="13" t="n">
        <v>0.216783216783217</v>
      </c>
      <c r="H8" s="14" t="n">
        <v>0.241802290221838</v>
      </c>
      <c r="I8" s="14" t="n">
        <v>0.236414203474465</v>
      </c>
      <c r="J8" s="14" t="n">
        <v>0.521783506303697</v>
      </c>
      <c r="K8" s="12" t="s">
        <v>33</v>
      </c>
      <c r="L8" s="15" t="n">
        <v>833</v>
      </c>
      <c r="M8" s="15" t="n">
        <v>7</v>
      </c>
    </row>
    <row r="9" customFormat="false" ht="15" hidden="false" customHeight="false" outlineLevel="0" collapsed="false">
      <c r="A9" s="12" t="s">
        <v>34</v>
      </c>
      <c r="B9" s="7" t="s">
        <v>35</v>
      </c>
      <c r="C9" s="12" t="s">
        <v>45</v>
      </c>
      <c r="D9" s="7" t="s">
        <v>31</v>
      </c>
      <c r="E9" s="7" t="s">
        <v>31</v>
      </c>
      <c r="F9" s="12" t="n">
        <f aca="false">IF(D9=E9,1,0)</f>
        <v>1</v>
      </c>
      <c r="G9" s="13" t="n">
        <v>0.0362694300518133</v>
      </c>
      <c r="H9" s="14" t="n">
        <v>0.233079096603083</v>
      </c>
      <c r="I9" s="14" t="n">
        <v>0.269056596344213</v>
      </c>
      <c r="J9" s="14" t="n">
        <v>0.497864307052704</v>
      </c>
      <c r="K9" s="12" t="s">
        <v>33</v>
      </c>
      <c r="L9" s="15" t="n">
        <v>833</v>
      </c>
      <c r="M9" s="15" t="n">
        <v>7</v>
      </c>
    </row>
    <row r="10" customFormat="false" ht="15" hidden="false" customHeight="false" outlineLevel="0" collapsed="false">
      <c r="A10" s="12" t="s">
        <v>36</v>
      </c>
      <c r="B10" s="7" t="s">
        <v>37</v>
      </c>
      <c r="C10" s="12" t="s">
        <v>45</v>
      </c>
      <c r="D10" s="7" t="s">
        <v>31</v>
      </c>
      <c r="E10" s="7" t="s">
        <v>31</v>
      </c>
      <c r="F10" s="12" t="n">
        <f aca="false">IF(D10=E10,1,0)</f>
        <v>1</v>
      </c>
      <c r="G10" s="13" t="n">
        <v>0.0994475138121546</v>
      </c>
      <c r="H10" s="14" t="n">
        <v>0.28495664668839</v>
      </c>
      <c r="I10" s="14" t="n">
        <v>0.244296619617221</v>
      </c>
      <c r="J10" s="14" t="n">
        <v>0.470746733694389</v>
      </c>
      <c r="K10" s="12" t="s">
        <v>33</v>
      </c>
      <c r="L10" s="15" t="n">
        <v>833</v>
      </c>
      <c r="M10" s="15" t="n">
        <v>7</v>
      </c>
    </row>
    <row r="11" customFormat="false" ht="15" hidden="false" customHeight="false" outlineLevel="0" collapsed="false">
      <c r="A11" s="12" t="s">
        <v>38</v>
      </c>
      <c r="B11" s="7" t="s">
        <v>39</v>
      </c>
      <c r="C11" s="12" t="s">
        <v>45</v>
      </c>
      <c r="D11" s="7" t="s">
        <v>31</v>
      </c>
      <c r="E11" s="7" t="s">
        <v>31</v>
      </c>
      <c r="F11" s="12" t="n">
        <f aca="false">IF(D11=E11,1,0)</f>
        <v>1</v>
      </c>
      <c r="G11" s="13" t="n">
        <v>0.10580204778157</v>
      </c>
      <c r="H11" s="14" t="n">
        <v>0.248766099645344</v>
      </c>
      <c r="I11" s="14" t="n">
        <v>0.261931103248586</v>
      </c>
      <c r="J11" s="14" t="n">
        <v>0.489302797106071</v>
      </c>
      <c r="K11" s="12" t="s">
        <v>33</v>
      </c>
      <c r="L11" s="15" t="n">
        <v>833</v>
      </c>
      <c r="M11" s="15" t="n">
        <v>7</v>
      </c>
    </row>
    <row r="12" customFormat="false" ht="15" hidden="false" customHeight="false" outlineLevel="0" collapsed="false">
      <c r="A12" s="12" t="s">
        <v>41</v>
      </c>
      <c r="B12" s="7" t="s">
        <v>42</v>
      </c>
      <c r="C12" s="12" t="s">
        <v>45</v>
      </c>
      <c r="D12" s="7" t="s">
        <v>31</v>
      </c>
      <c r="E12" s="7" t="s">
        <v>32</v>
      </c>
      <c r="F12" s="12" t="n">
        <f aca="false">IF(D12=E12,1,0)</f>
        <v>0</v>
      </c>
      <c r="G12" s="13" t="n">
        <v>-0.0123456790123457</v>
      </c>
      <c r="H12" s="14" t="n">
        <v>0.273974882077695</v>
      </c>
      <c r="I12" s="14" t="n">
        <v>0.279581035584903</v>
      </c>
      <c r="J12" s="14" t="n">
        <v>0.446444082337402</v>
      </c>
      <c r="K12" s="12" t="s">
        <v>33</v>
      </c>
      <c r="L12" s="15" t="n">
        <v>833</v>
      </c>
      <c r="M12" s="15" t="n">
        <v>7</v>
      </c>
    </row>
    <row r="13" customFormat="false" ht="15" hidden="false" customHeight="false" outlineLevel="0" collapsed="false">
      <c r="A13" s="12" t="s">
        <v>43</v>
      </c>
      <c r="B13" s="7" t="s">
        <v>44</v>
      </c>
      <c r="C13" s="12" t="s">
        <v>45</v>
      </c>
      <c r="D13" s="7" t="s">
        <v>31</v>
      </c>
      <c r="E13" s="7" t="s">
        <v>40</v>
      </c>
      <c r="F13" s="12" t="n">
        <f aca="false">IF(D13=E13,1,0)</f>
        <v>0</v>
      </c>
      <c r="G13" s="13" t="n">
        <v>0.0027855153203342</v>
      </c>
      <c r="H13" s="14" t="n">
        <v>0.281338485391835</v>
      </c>
      <c r="I13" s="14" t="n">
        <v>0.261973948165165</v>
      </c>
      <c r="J13" s="14" t="n">
        <v>0.456687566443001</v>
      </c>
      <c r="K13" s="12" t="s">
        <v>33</v>
      </c>
      <c r="L13" s="15" t="n">
        <v>833</v>
      </c>
      <c r="M13" s="15" t="n">
        <v>7</v>
      </c>
    </row>
    <row r="14" customFormat="false" ht="15" hidden="false" customHeight="false" outlineLevel="0" collapsed="false">
      <c r="A14" s="12" t="s">
        <v>28</v>
      </c>
      <c r="B14" s="7" t="s">
        <v>29</v>
      </c>
      <c r="C14" s="12" t="s">
        <v>46</v>
      </c>
      <c r="D14" s="7" t="s">
        <v>31</v>
      </c>
      <c r="E14" s="7" t="s">
        <v>31</v>
      </c>
      <c r="F14" s="12" t="n">
        <f aca="false">IF(D14=E14,1,0)</f>
        <v>1</v>
      </c>
      <c r="G14" s="13" t="n">
        <v>0.155115511551155</v>
      </c>
      <c r="H14" s="14" t="n">
        <v>0.237652206394899</v>
      </c>
      <c r="I14" s="14" t="n">
        <v>0.228838553305352</v>
      </c>
      <c r="J14" s="14" t="n">
        <v>0.533509240299749</v>
      </c>
      <c r="K14" s="12" t="s">
        <v>33</v>
      </c>
      <c r="L14" s="15" t="n">
        <v>833</v>
      </c>
      <c r="M14" s="15" t="n">
        <v>7</v>
      </c>
    </row>
    <row r="15" customFormat="false" ht="15" hidden="false" customHeight="false" outlineLevel="0" collapsed="false">
      <c r="A15" s="12" t="s">
        <v>34</v>
      </c>
      <c r="B15" s="7" t="s">
        <v>35</v>
      </c>
      <c r="C15" s="12" t="s">
        <v>46</v>
      </c>
      <c r="D15" s="7" t="s">
        <v>31</v>
      </c>
      <c r="E15" s="7" t="s">
        <v>31</v>
      </c>
      <c r="F15" s="12" t="n">
        <f aca="false">IF(D15=E15,1,0)</f>
        <v>1</v>
      </c>
      <c r="G15" s="13" t="n">
        <v>0.0807291666666667</v>
      </c>
      <c r="H15" s="14" t="n">
        <v>0.245747962361951</v>
      </c>
      <c r="I15" s="14" t="n">
        <v>0.262470366967126</v>
      </c>
      <c r="J15" s="14" t="n">
        <v>0.491781670670924</v>
      </c>
      <c r="K15" s="12" t="s">
        <v>33</v>
      </c>
      <c r="L15" s="15" t="n">
        <v>833</v>
      </c>
      <c r="M15" s="15" t="n">
        <v>7</v>
      </c>
    </row>
    <row r="16" customFormat="false" ht="15" hidden="false" customHeight="false" outlineLevel="0" collapsed="false">
      <c r="A16" s="12" t="s">
        <v>36</v>
      </c>
      <c r="B16" s="7" t="s">
        <v>37</v>
      </c>
      <c r="C16" s="12" t="s">
        <v>46</v>
      </c>
      <c r="D16" s="7" t="s">
        <v>31</v>
      </c>
      <c r="E16" s="7" t="s">
        <v>31</v>
      </c>
      <c r="F16" s="12" t="n">
        <f aca="false">IF(D16=E16,1,0)</f>
        <v>1</v>
      </c>
      <c r="G16" s="13" t="n">
        <v>0.104838709677419</v>
      </c>
      <c r="H16" s="14" t="n">
        <v>0.295287389537416</v>
      </c>
      <c r="I16" s="14" t="n">
        <v>0.238571149525324</v>
      </c>
      <c r="J16" s="14" t="n">
        <v>0.46614146093726</v>
      </c>
      <c r="K16" s="12" t="s">
        <v>33</v>
      </c>
      <c r="L16" s="15" t="n">
        <v>833</v>
      </c>
      <c r="M16" s="15" t="n">
        <v>7</v>
      </c>
    </row>
    <row r="17" customFormat="false" ht="15" hidden="false" customHeight="false" outlineLevel="0" collapsed="false">
      <c r="A17" s="12" t="s">
        <v>38</v>
      </c>
      <c r="B17" s="7" t="s">
        <v>39</v>
      </c>
      <c r="C17" s="12" t="s">
        <v>46</v>
      </c>
      <c r="D17" s="7" t="s">
        <v>31</v>
      </c>
      <c r="E17" s="7" t="s">
        <v>31</v>
      </c>
      <c r="F17" s="12" t="n">
        <f aca="false">IF(D17=E17,1,0)</f>
        <v>1</v>
      </c>
      <c r="G17" s="13" t="n">
        <v>0.170068027210884</v>
      </c>
      <c r="H17" s="14" t="n">
        <v>0.257334321101765</v>
      </c>
      <c r="I17" s="14" t="n">
        <v>0.281010505310614</v>
      </c>
      <c r="J17" s="14" t="n">
        <v>0.461655173587621</v>
      </c>
      <c r="K17" s="12" t="s">
        <v>33</v>
      </c>
      <c r="L17" s="15" t="n">
        <v>833</v>
      </c>
      <c r="M17" s="15" t="n">
        <v>7</v>
      </c>
    </row>
    <row r="18" customFormat="false" ht="15" hidden="false" customHeight="false" outlineLevel="0" collapsed="false">
      <c r="A18" s="12" t="s">
        <v>41</v>
      </c>
      <c r="B18" s="7" t="s">
        <v>42</v>
      </c>
      <c r="C18" s="12" t="s">
        <v>46</v>
      </c>
      <c r="D18" s="7" t="s">
        <v>31</v>
      </c>
      <c r="E18" s="7" t="s">
        <v>40</v>
      </c>
      <c r="F18" s="12" t="n">
        <f aca="false">IF(D18=E18,1,0)</f>
        <v>0</v>
      </c>
      <c r="G18" s="13" t="n">
        <v>-0.0098522167487684</v>
      </c>
      <c r="H18" s="14" t="n">
        <v>0.269770740249695</v>
      </c>
      <c r="I18" s="14" t="n">
        <v>0.286716252221828</v>
      </c>
      <c r="J18" s="14" t="n">
        <v>0.443513007528477</v>
      </c>
      <c r="K18" s="12" t="s">
        <v>33</v>
      </c>
      <c r="L18" s="15" t="n">
        <v>833</v>
      </c>
      <c r="M18" s="15" t="n">
        <v>7</v>
      </c>
    </row>
    <row r="19" customFormat="false" ht="15" hidden="false" customHeight="false" outlineLevel="0" collapsed="false">
      <c r="A19" s="12" t="s">
        <v>43</v>
      </c>
      <c r="B19" s="7" t="s">
        <v>44</v>
      </c>
      <c r="C19" s="12" t="s">
        <v>46</v>
      </c>
      <c r="D19" s="7" t="s">
        <v>31</v>
      </c>
      <c r="E19" s="7" t="s">
        <v>40</v>
      </c>
      <c r="F19" s="12" t="n">
        <f aca="false">IF(D19=E19,1,0)</f>
        <v>0</v>
      </c>
      <c r="G19" s="13" t="n">
        <v>0.011126564673157</v>
      </c>
      <c r="H19" s="14" t="n">
        <v>0.304892355541186</v>
      </c>
      <c r="I19" s="14" t="n">
        <v>0.254753719026943</v>
      </c>
      <c r="J19" s="14" t="n">
        <v>0.440353925431872</v>
      </c>
      <c r="K19" s="12" t="s">
        <v>33</v>
      </c>
      <c r="L19" s="15" t="n">
        <v>833</v>
      </c>
      <c r="M19" s="15" t="n">
        <v>7</v>
      </c>
    </row>
    <row r="20" customFormat="false" ht="15" hidden="false" customHeight="false" outlineLevel="0" collapsed="false">
      <c r="A20" s="12" t="s">
        <v>28</v>
      </c>
      <c r="B20" s="7" t="s">
        <v>29</v>
      </c>
      <c r="C20" s="12" t="s">
        <v>47</v>
      </c>
      <c r="D20" s="7" t="s">
        <v>31</v>
      </c>
      <c r="E20" s="7" t="s">
        <v>31</v>
      </c>
      <c r="F20" s="12" t="n">
        <f aca="false">IF(D20=E20,1,0)</f>
        <v>1</v>
      </c>
      <c r="G20" s="13" t="n">
        <v>0.072072072072072</v>
      </c>
      <c r="H20" s="14" t="n">
        <v>0.24965841876203</v>
      </c>
      <c r="I20" s="14" t="n">
        <v>0.238543223330768</v>
      </c>
      <c r="J20" s="14" t="n">
        <v>0.511798357907203</v>
      </c>
      <c r="K20" s="12" t="s">
        <v>33</v>
      </c>
      <c r="L20" s="15" t="n">
        <v>833</v>
      </c>
      <c r="M20" s="15" t="n">
        <v>7</v>
      </c>
    </row>
    <row r="21" customFormat="false" ht="15" hidden="false" customHeight="false" outlineLevel="0" collapsed="false">
      <c r="A21" s="12" t="s">
        <v>34</v>
      </c>
      <c r="B21" s="7" t="s">
        <v>35</v>
      </c>
      <c r="C21" s="12" t="s">
        <v>47</v>
      </c>
      <c r="D21" s="7" t="s">
        <v>31</v>
      </c>
      <c r="E21" s="7" t="s">
        <v>31</v>
      </c>
      <c r="F21" s="12" t="n">
        <f aca="false">IF(D21=E21,1,0)</f>
        <v>1</v>
      </c>
      <c r="G21" s="13" t="n">
        <v>0.0297766749379653</v>
      </c>
      <c r="H21" s="14" t="n">
        <v>0.243623253967516</v>
      </c>
      <c r="I21" s="14" t="n">
        <v>0.241825633946713</v>
      </c>
      <c r="J21" s="14" t="n">
        <v>0.514551112085771</v>
      </c>
      <c r="K21" s="12" t="s">
        <v>33</v>
      </c>
      <c r="L21" s="15" t="n">
        <v>833</v>
      </c>
      <c r="M21" s="15" t="n">
        <v>7</v>
      </c>
    </row>
    <row r="22" customFormat="false" ht="15" hidden="false" customHeight="false" outlineLevel="0" collapsed="false">
      <c r="A22" s="12" t="s">
        <v>36</v>
      </c>
      <c r="B22" s="7" t="s">
        <v>37</v>
      </c>
      <c r="C22" s="12" t="s">
        <v>47</v>
      </c>
      <c r="D22" s="7" t="s">
        <v>31</v>
      </c>
      <c r="E22" s="7" t="s">
        <v>31</v>
      </c>
      <c r="F22" s="12" t="n">
        <f aca="false">IF(D22=E22,1,0)</f>
        <v>1</v>
      </c>
      <c r="G22" s="13" t="n">
        <v>0.0666666666666666</v>
      </c>
      <c r="H22" s="14" t="n">
        <v>0.299112667384101</v>
      </c>
      <c r="I22" s="14" t="n">
        <v>0.228356472609114</v>
      </c>
      <c r="J22" s="14" t="n">
        <v>0.472530860006784</v>
      </c>
      <c r="K22" s="12" t="s">
        <v>33</v>
      </c>
      <c r="L22" s="15" t="n">
        <v>833</v>
      </c>
      <c r="M22" s="15" t="n">
        <v>7</v>
      </c>
    </row>
    <row r="23" customFormat="false" ht="15" hidden="false" customHeight="false" outlineLevel="0" collapsed="false">
      <c r="A23" s="12" t="s">
        <v>38</v>
      </c>
      <c r="B23" s="7" t="s">
        <v>39</v>
      </c>
      <c r="C23" s="12" t="s">
        <v>47</v>
      </c>
      <c r="D23" s="7" t="s">
        <v>31</v>
      </c>
      <c r="E23" s="7" t="s">
        <v>31</v>
      </c>
      <c r="F23" s="12" t="n">
        <f aca="false">IF(D23=E23,1,0)</f>
        <v>1</v>
      </c>
      <c r="G23" s="13" t="n">
        <v>0.132911392405063</v>
      </c>
      <c r="H23" s="14" t="n">
        <v>0.233668163148632</v>
      </c>
      <c r="I23" s="14" t="n">
        <v>0.257317242420616</v>
      </c>
      <c r="J23" s="14" t="n">
        <v>0.509014594430753</v>
      </c>
      <c r="K23" s="12" t="s">
        <v>33</v>
      </c>
      <c r="L23" s="15" t="n">
        <v>833</v>
      </c>
      <c r="M23" s="15" t="n">
        <v>7</v>
      </c>
    </row>
    <row r="24" customFormat="false" ht="15" hidden="false" customHeight="false" outlineLevel="0" collapsed="false">
      <c r="A24" s="12" t="s">
        <v>41</v>
      </c>
      <c r="B24" s="7" t="s">
        <v>42</v>
      </c>
      <c r="C24" s="12" t="s">
        <v>47</v>
      </c>
      <c r="D24" s="7" t="s">
        <v>31</v>
      </c>
      <c r="E24" s="7" t="s">
        <v>40</v>
      </c>
      <c r="F24" s="12" t="n">
        <f aca="false">IF(D24=E24,1,0)</f>
        <v>0</v>
      </c>
      <c r="G24" s="13" t="n">
        <v>0.0049504950495049</v>
      </c>
      <c r="H24" s="14" t="n">
        <v>0.259944663270313</v>
      </c>
      <c r="I24" s="14" t="n">
        <v>0.269983240265557</v>
      </c>
      <c r="J24" s="14" t="n">
        <v>0.47007209646413</v>
      </c>
      <c r="K24" s="12" t="s">
        <v>33</v>
      </c>
      <c r="L24" s="15" t="n">
        <v>833</v>
      </c>
      <c r="M24" s="15" t="n">
        <v>7</v>
      </c>
    </row>
    <row r="25" customFormat="false" ht="15" hidden="false" customHeight="false" outlineLevel="0" collapsed="false">
      <c r="A25" s="12" t="s">
        <v>43</v>
      </c>
      <c r="B25" s="7" t="s">
        <v>44</v>
      </c>
      <c r="C25" s="12" t="s">
        <v>47</v>
      </c>
      <c r="D25" s="7" t="s">
        <v>31</v>
      </c>
      <c r="E25" s="7" t="s">
        <v>32</v>
      </c>
      <c r="F25" s="12" t="n">
        <f aca="false">IF(D25=E25,1,0)</f>
        <v>0</v>
      </c>
      <c r="G25" s="13" t="n">
        <v>-0.0121951219512194</v>
      </c>
      <c r="H25" s="14" t="n">
        <v>0.265078225211093</v>
      </c>
      <c r="I25" s="14" t="n">
        <v>0.260047000616017</v>
      </c>
      <c r="J25" s="14" t="n">
        <v>0.474874774172891</v>
      </c>
      <c r="K25" s="12" t="s">
        <v>33</v>
      </c>
      <c r="L25" s="15" t="n">
        <v>833</v>
      </c>
      <c r="M25" s="15" t="n">
        <v>7</v>
      </c>
    </row>
    <row r="26" customFormat="false" ht="15" hidden="false" customHeight="false" outlineLevel="0" collapsed="false">
      <c r="A26" s="12" t="s">
        <v>28</v>
      </c>
      <c r="B26" s="7" t="s">
        <v>29</v>
      </c>
      <c r="C26" s="12" t="s">
        <v>48</v>
      </c>
      <c r="D26" s="7" t="s">
        <v>31</v>
      </c>
      <c r="E26" s="7" t="s">
        <v>31</v>
      </c>
      <c r="F26" s="12" t="n">
        <f aca="false">IF(D26=E26,1,0)</f>
        <v>1</v>
      </c>
      <c r="G26" s="13" t="n">
        <v>0.121580547112462</v>
      </c>
      <c r="H26" s="14" t="n">
        <v>0.256466377255807</v>
      </c>
      <c r="I26" s="14" t="n">
        <v>0.223156141944981</v>
      </c>
      <c r="J26" s="14" t="n">
        <v>0.520377480799212</v>
      </c>
      <c r="K26" s="12" t="s">
        <v>33</v>
      </c>
      <c r="L26" s="15" t="n">
        <v>833</v>
      </c>
      <c r="M26" s="15" t="n">
        <v>7</v>
      </c>
    </row>
    <row r="27" customFormat="false" ht="15" hidden="false" customHeight="false" outlineLevel="0" collapsed="false">
      <c r="A27" s="12" t="s">
        <v>34</v>
      </c>
      <c r="B27" s="7" t="s">
        <v>35</v>
      </c>
      <c r="C27" s="12" t="s">
        <v>48</v>
      </c>
      <c r="D27" s="7" t="s">
        <v>31</v>
      </c>
      <c r="E27" s="7" t="s">
        <v>31</v>
      </c>
      <c r="F27" s="12" t="n">
        <f aca="false">IF(D27=E27,1,0)</f>
        <v>1</v>
      </c>
      <c r="G27" s="13" t="n">
        <v>0.0349999999999999</v>
      </c>
      <c r="H27" s="14" t="n">
        <v>0.260530617468283</v>
      </c>
      <c r="I27" s="14" t="n">
        <v>0.237739651890081</v>
      </c>
      <c r="J27" s="14" t="n">
        <v>0.501729730641637</v>
      </c>
      <c r="K27" s="12" t="s">
        <v>33</v>
      </c>
      <c r="L27" s="15" t="n">
        <v>833</v>
      </c>
      <c r="M27" s="15" t="n">
        <v>7</v>
      </c>
    </row>
    <row r="28" customFormat="false" ht="15" hidden="false" customHeight="false" outlineLevel="0" collapsed="false">
      <c r="A28" s="12" t="s">
        <v>36</v>
      </c>
      <c r="B28" s="7" t="s">
        <v>37</v>
      </c>
      <c r="C28" s="12" t="s">
        <v>48</v>
      </c>
      <c r="D28" s="7" t="s">
        <v>31</v>
      </c>
      <c r="E28" s="7" t="s">
        <v>31</v>
      </c>
      <c r="F28" s="12" t="n">
        <f aca="false">IF(D28=E28,1,0)</f>
        <v>1</v>
      </c>
      <c r="G28" s="13" t="n">
        <v>0.0664961636828644</v>
      </c>
      <c r="H28" s="14" t="n">
        <v>0.318501695209177</v>
      </c>
      <c r="I28" s="14" t="n">
        <v>0.234668360871733</v>
      </c>
      <c r="J28" s="14" t="n">
        <v>0.44682994391909</v>
      </c>
      <c r="K28" s="12" t="s">
        <v>33</v>
      </c>
      <c r="L28" s="15" t="n">
        <v>833</v>
      </c>
      <c r="M28" s="15" t="n">
        <v>7</v>
      </c>
    </row>
    <row r="29" customFormat="false" ht="15" hidden="false" customHeight="false" outlineLevel="0" collapsed="false">
      <c r="A29" s="12" t="s">
        <v>38</v>
      </c>
      <c r="B29" s="7" t="s">
        <v>39</v>
      </c>
      <c r="C29" s="12" t="s">
        <v>48</v>
      </c>
      <c r="D29" s="7" t="s">
        <v>31</v>
      </c>
      <c r="E29" s="7" t="s">
        <v>31</v>
      </c>
      <c r="F29" s="12" t="n">
        <f aca="false">IF(D29=E29,1,0)</f>
        <v>1</v>
      </c>
      <c r="G29" s="13" t="n">
        <v>0.203174603174603</v>
      </c>
      <c r="H29" s="14" t="n">
        <v>0.23704427188214</v>
      </c>
      <c r="I29" s="14" t="n">
        <v>0.240541556746753</v>
      </c>
      <c r="J29" s="14" t="n">
        <v>0.522414171371107</v>
      </c>
      <c r="K29" s="12" t="s">
        <v>33</v>
      </c>
      <c r="L29" s="15" t="n">
        <v>833</v>
      </c>
      <c r="M29" s="15" t="n">
        <v>7</v>
      </c>
    </row>
    <row r="30" customFormat="false" ht="15" hidden="false" customHeight="false" outlineLevel="0" collapsed="false">
      <c r="A30" s="12" t="s">
        <v>41</v>
      </c>
      <c r="B30" s="7" t="s">
        <v>42</v>
      </c>
      <c r="C30" s="12" t="s">
        <v>48</v>
      </c>
      <c r="D30" s="7" t="s">
        <v>31</v>
      </c>
      <c r="E30" s="7" t="s">
        <v>40</v>
      </c>
      <c r="F30" s="12" t="n">
        <f aca="false">IF(D30=E30,1,0)</f>
        <v>0</v>
      </c>
      <c r="G30" s="13" t="n">
        <v>-0.0073891625615764</v>
      </c>
      <c r="H30" s="14" t="n">
        <v>0.269459235698235</v>
      </c>
      <c r="I30" s="14" t="n">
        <v>0.272092908979794</v>
      </c>
      <c r="J30" s="14" t="n">
        <v>0.458447855321972</v>
      </c>
      <c r="K30" s="12" t="s">
        <v>33</v>
      </c>
      <c r="L30" s="15" t="n">
        <v>833</v>
      </c>
      <c r="M30" s="15" t="n">
        <v>7</v>
      </c>
    </row>
    <row r="31" customFormat="false" ht="15" hidden="false" customHeight="false" outlineLevel="0" collapsed="false">
      <c r="A31" s="12" t="s">
        <v>43</v>
      </c>
      <c r="B31" s="7" t="s">
        <v>44</v>
      </c>
      <c r="C31" s="12" t="s">
        <v>48</v>
      </c>
      <c r="D31" s="7" t="s">
        <v>31</v>
      </c>
      <c r="E31" s="7" t="s">
        <v>40</v>
      </c>
      <c r="F31" s="12" t="n">
        <f aca="false">IF(D31=E31,1,0)</f>
        <v>0</v>
      </c>
      <c r="G31" s="13" t="n">
        <v>0.0081521739130436</v>
      </c>
      <c r="H31" s="14" t="n">
        <v>0.270763722030507</v>
      </c>
      <c r="I31" s="14" t="n">
        <v>0.259135759820577</v>
      </c>
      <c r="J31" s="14" t="n">
        <v>0.470100518148916</v>
      </c>
      <c r="K31" s="12" t="s">
        <v>33</v>
      </c>
      <c r="L31" s="15" t="n">
        <v>833</v>
      </c>
      <c r="M31" s="15" t="n">
        <v>7</v>
      </c>
    </row>
    <row r="32" customFormat="false" ht="15" hidden="false" customHeight="false" outlineLevel="0" collapsed="false">
      <c r="A32" s="12" t="s">
        <v>28</v>
      </c>
      <c r="B32" s="7" t="s">
        <v>29</v>
      </c>
      <c r="C32" s="12" t="s">
        <v>49</v>
      </c>
      <c r="D32" s="7" t="s">
        <v>31</v>
      </c>
      <c r="E32" s="7" t="s">
        <v>31</v>
      </c>
      <c r="F32" s="12" t="n">
        <f aca="false">IF(D32=E32,1,0)</f>
        <v>1</v>
      </c>
      <c r="G32" s="13" t="n">
        <v>0.0605187319884725</v>
      </c>
      <c r="H32" s="14" t="n">
        <v>0.250085554005429</v>
      </c>
      <c r="I32" s="14" t="n">
        <v>0.211938997136844</v>
      </c>
      <c r="J32" s="14" t="n">
        <v>0.537975448857727</v>
      </c>
      <c r="K32" s="12" t="s">
        <v>33</v>
      </c>
      <c r="L32" s="15" t="n">
        <v>833</v>
      </c>
      <c r="M32" s="15" t="n">
        <v>7</v>
      </c>
    </row>
    <row r="33" customFormat="false" ht="15" hidden="false" customHeight="false" outlineLevel="0" collapsed="false">
      <c r="A33" s="12" t="s">
        <v>34</v>
      </c>
      <c r="B33" s="7" t="s">
        <v>35</v>
      </c>
      <c r="C33" s="12" t="s">
        <v>49</v>
      </c>
      <c r="D33" s="7" t="s">
        <v>31</v>
      </c>
      <c r="E33" s="7" t="s">
        <v>31</v>
      </c>
      <c r="F33" s="12" t="n">
        <f aca="false">IF(D33=E33,1,0)</f>
        <v>1</v>
      </c>
      <c r="G33" s="13" t="n">
        <v>0.0274314214463839</v>
      </c>
      <c r="H33" s="14" t="n">
        <v>0.294118954964679</v>
      </c>
      <c r="I33" s="14" t="n">
        <v>0.250805368006612</v>
      </c>
      <c r="J33" s="14" t="n">
        <v>0.455075677028709</v>
      </c>
      <c r="K33" s="12" t="s">
        <v>33</v>
      </c>
      <c r="L33" s="15" t="n">
        <v>833</v>
      </c>
      <c r="M33" s="15" t="n">
        <v>7</v>
      </c>
    </row>
    <row r="34" customFormat="false" ht="15" hidden="false" customHeight="false" outlineLevel="0" collapsed="false">
      <c r="A34" s="12" t="s">
        <v>36</v>
      </c>
      <c r="B34" s="7" t="s">
        <v>37</v>
      </c>
      <c r="C34" s="12" t="s">
        <v>49</v>
      </c>
      <c r="D34" s="7" t="s">
        <v>31</v>
      </c>
      <c r="E34" s="7" t="s">
        <v>31</v>
      </c>
      <c r="F34" s="12" t="n">
        <f aca="false">IF(D34=E34,1,0)</f>
        <v>1</v>
      </c>
      <c r="G34" s="13" t="n">
        <v>0.0149999999999999</v>
      </c>
      <c r="H34" s="14" t="n">
        <v>0.364139114188009</v>
      </c>
      <c r="I34" s="14" t="n">
        <v>0.239309504262113</v>
      </c>
      <c r="J34" s="14" t="n">
        <v>0.396551381549878</v>
      </c>
      <c r="K34" s="12" t="s">
        <v>33</v>
      </c>
      <c r="L34" s="15" t="n">
        <v>833</v>
      </c>
      <c r="M34" s="15" t="n">
        <v>7</v>
      </c>
    </row>
    <row r="35" customFormat="false" ht="15" hidden="false" customHeight="false" outlineLevel="0" collapsed="false">
      <c r="A35" s="12" t="s">
        <v>38</v>
      </c>
      <c r="B35" s="7" t="s">
        <v>39</v>
      </c>
      <c r="C35" s="12" t="s">
        <v>49</v>
      </c>
      <c r="D35" s="7" t="s">
        <v>31</v>
      </c>
      <c r="E35" s="7" t="s">
        <v>31</v>
      </c>
      <c r="F35" s="12" t="n">
        <f aca="false">IF(D35=E35,1,0)</f>
        <v>1</v>
      </c>
      <c r="G35" s="13" t="n">
        <v>0.222222222222222</v>
      </c>
      <c r="H35" s="14" t="n">
        <v>0.231559767434788</v>
      </c>
      <c r="I35" s="14" t="n">
        <v>0.24230881595607</v>
      </c>
      <c r="J35" s="14" t="n">
        <v>0.526131416609141</v>
      </c>
      <c r="K35" s="12" t="s">
        <v>33</v>
      </c>
      <c r="L35" s="15" t="n">
        <v>833</v>
      </c>
      <c r="M35" s="15" t="n">
        <v>7</v>
      </c>
    </row>
    <row r="36" customFormat="false" ht="15" hidden="false" customHeight="false" outlineLevel="0" collapsed="false">
      <c r="A36" s="12" t="s">
        <v>41</v>
      </c>
      <c r="B36" s="7" t="s">
        <v>42</v>
      </c>
      <c r="C36" s="12" t="s">
        <v>49</v>
      </c>
      <c r="D36" s="7" t="s">
        <v>31</v>
      </c>
      <c r="E36" s="7" t="s">
        <v>32</v>
      </c>
      <c r="F36" s="12" t="n">
        <f aca="false">IF(D36=E36,1,0)</f>
        <v>0</v>
      </c>
      <c r="G36" s="13" t="n">
        <v>-0.0222222222222222</v>
      </c>
      <c r="H36" s="14" t="n">
        <v>0.274283331253189</v>
      </c>
      <c r="I36" s="14" t="n">
        <v>0.263766740872627</v>
      </c>
      <c r="J36" s="14" t="n">
        <v>0.461949927874184</v>
      </c>
      <c r="K36" s="12" t="s">
        <v>33</v>
      </c>
      <c r="L36" s="15" t="n">
        <v>833</v>
      </c>
      <c r="M36" s="15" t="n">
        <v>7</v>
      </c>
    </row>
    <row r="37" customFormat="false" ht="15" hidden="false" customHeight="false" outlineLevel="0" collapsed="false">
      <c r="A37" s="12" t="s">
        <v>43</v>
      </c>
      <c r="B37" s="7" t="s">
        <v>44</v>
      </c>
      <c r="C37" s="12" t="s">
        <v>49</v>
      </c>
      <c r="D37" s="7" t="s">
        <v>31</v>
      </c>
      <c r="E37" s="7" t="s">
        <v>31</v>
      </c>
      <c r="F37" s="12" t="n">
        <f aca="false">IF(D37=E37,1,0)</f>
        <v>1</v>
      </c>
      <c r="G37" s="13" t="n">
        <v>0.0288065843621398</v>
      </c>
      <c r="H37" s="14" t="n">
        <v>0.283789180279076</v>
      </c>
      <c r="I37" s="14" t="n">
        <v>0.254507133787801</v>
      </c>
      <c r="J37" s="14" t="n">
        <v>0.461703685933123</v>
      </c>
      <c r="K37" s="12" t="s">
        <v>33</v>
      </c>
      <c r="L37" s="15" t="n">
        <v>833</v>
      </c>
      <c r="M37" s="15" t="n">
        <v>7</v>
      </c>
    </row>
    <row r="38" customFormat="false" ht="15" hidden="false" customHeight="false" outlineLevel="0" collapsed="false">
      <c r="A38" s="12" t="s">
        <v>28</v>
      </c>
      <c r="B38" s="7" t="s">
        <v>29</v>
      </c>
      <c r="C38" s="12" t="s">
        <v>50</v>
      </c>
      <c r="D38" s="7" t="s">
        <v>31</v>
      </c>
      <c r="E38" s="7" t="s">
        <v>31</v>
      </c>
      <c r="F38" s="12" t="n">
        <f aca="false">IF(D38=E38,1,0)</f>
        <v>1</v>
      </c>
      <c r="G38" s="13" t="n">
        <v>0.0919540229885058</v>
      </c>
      <c r="H38" s="14" t="n">
        <v>0.269863385812066</v>
      </c>
      <c r="I38" s="14" t="n">
        <v>0.218858758743832</v>
      </c>
      <c r="J38" s="14" t="n">
        <v>0.511277855444102</v>
      </c>
      <c r="K38" s="12" t="s">
        <v>33</v>
      </c>
      <c r="L38" s="15" t="n">
        <v>833</v>
      </c>
      <c r="M38" s="15" t="n">
        <v>7</v>
      </c>
    </row>
    <row r="39" customFormat="false" ht="15" hidden="false" customHeight="false" outlineLevel="0" collapsed="false">
      <c r="A39" s="12" t="s">
        <v>34</v>
      </c>
      <c r="B39" s="7" t="s">
        <v>35</v>
      </c>
      <c r="C39" s="12" t="s">
        <v>50</v>
      </c>
      <c r="D39" s="7" t="s">
        <v>31</v>
      </c>
      <c r="E39" s="7" t="s">
        <v>31</v>
      </c>
      <c r="F39" s="12" t="n">
        <f aca="false">IF(D39=E39,1,0)</f>
        <v>1</v>
      </c>
      <c r="G39" s="13" t="n">
        <v>0.0375</v>
      </c>
      <c r="H39" s="14" t="n">
        <v>0.334527280367299</v>
      </c>
      <c r="I39" s="14" t="n">
        <v>0.243026981699091</v>
      </c>
      <c r="J39" s="14" t="n">
        <v>0.42244573793361</v>
      </c>
      <c r="K39" s="12" t="s">
        <v>33</v>
      </c>
      <c r="L39" s="15" t="n">
        <v>833</v>
      </c>
      <c r="M39" s="15" t="n">
        <v>7</v>
      </c>
    </row>
    <row r="40" customFormat="false" ht="15" hidden="false" customHeight="false" outlineLevel="0" collapsed="false">
      <c r="A40" s="12" t="s">
        <v>36</v>
      </c>
      <c r="B40" s="7" t="s">
        <v>37</v>
      </c>
      <c r="C40" s="12" t="s">
        <v>50</v>
      </c>
      <c r="D40" s="7" t="s">
        <v>31</v>
      </c>
      <c r="E40" s="7" t="s">
        <v>31</v>
      </c>
      <c r="F40" s="12" t="n">
        <f aca="false">IF(D40=E40,1,0)</f>
        <v>1</v>
      </c>
      <c r="G40" s="13" t="n">
        <v>0.0175879396984923</v>
      </c>
      <c r="H40" s="14" t="n">
        <v>0.340336513521067</v>
      </c>
      <c r="I40" s="14" t="n">
        <v>0.223729034052994</v>
      </c>
      <c r="J40" s="14" t="n">
        <v>0.435934452425939</v>
      </c>
      <c r="K40" s="12" t="s">
        <v>33</v>
      </c>
      <c r="L40" s="15" t="n">
        <v>833</v>
      </c>
      <c r="M40" s="15" t="n">
        <v>7</v>
      </c>
    </row>
    <row r="41" customFormat="false" ht="15" hidden="false" customHeight="false" outlineLevel="0" collapsed="false">
      <c r="A41" s="12" t="s">
        <v>38</v>
      </c>
      <c r="B41" s="7" t="s">
        <v>39</v>
      </c>
      <c r="C41" s="12" t="s">
        <v>50</v>
      </c>
      <c r="D41" s="7" t="s">
        <v>31</v>
      </c>
      <c r="E41" s="7" t="s">
        <v>31</v>
      </c>
      <c r="F41" s="12" t="n">
        <f aca="false">IF(D41=E41,1,0)</f>
        <v>1</v>
      </c>
      <c r="G41" s="13" t="n">
        <v>0.17283950617284</v>
      </c>
      <c r="H41" s="14" t="n">
        <v>0.238316460230853</v>
      </c>
      <c r="I41" s="14" t="n">
        <v>0.225665777215828</v>
      </c>
      <c r="J41" s="14" t="n">
        <v>0.53601776255332</v>
      </c>
      <c r="K41" s="12" t="s">
        <v>33</v>
      </c>
      <c r="L41" s="15" t="n">
        <v>833</v>
      </c>
      <c r="M41" s="15" t="n">
        <v>7</v>
      </c>
    </row>
    <row r="42" customFormat="false" ht="15" hidden="false" customHeight="false" outlineLevel="0" collapsed="false">
      <c r="A42" s="12" t="s">
        <v>41</v>
      </c>
      <c r="B42" s="7" t="s">
        <v>42</v>
      </c>
      <c r="C42" s="12" t="s">
        <v>50</v>
      </c>
      <c r="D42" s="7" t="s">
        <v>31</v>
      </c>
      <c r="E42" s="7" t="s">
        <v>32</v>
      </c>
      <c r="F42" s="12" t="n">
        <f aca="false">IF(D42=E42,1,0)</f>
        <v>0</v>
      </c>
      <c r="G42" s="13" t="n">
        <v>-0.015</v>
      </c>
      <c r="H42" s="14" t="n">
        <v>0.255684709188925</v>
      </c>
      <c r="I42" s="14" t="n">
        <v>0.281802077689708</v>
      </c>
      <c r="J42" s="14" t="n">
        <v>0.462513213121367</v>
      </c>
      <c r="K42" s="12" t="s">
        <v>33</v>
      </c>
      <c r="L42" s="15" t="n">
        <v>833</v>
      </c>
      <c r="M42" s="15" t="n">
        <v>7</v>
      </c>
    </row>
    <row r="43" customFormat="false" ht="15" hidden="false" customHeight="false" outlineLevel="0" collapsed="false">
      <c r="A43" s="12" t="s">
        <v>43</v>
      </c>
      <c r="B43" s="7" t="s">
        <v>44</v>
      </c>
      <c r="C43" s="12" t="s">
        <v>50</v>
      </c>
      <c r="D43" s="7" t="s">
        <v>31</v>
      </c>
      <c r="E43" s="7" t="s">
        <v>31</v>
      </c>
      <c r="F43" s="12" t="n">
        <f aca="false">IF(D43=E43,1,0)</f>
        <v>1</v>
      </c>
      <c r="G43" s="13" t="n">
        <v>0.0361111111111109</v>
      </c>
      <c r="H43" s="14" t="n">
        <v>0.27006522783797</v>
      </c>
      <c r="I43" s="14" t="n">
        <v>0.280939667716468</v>
      </c>
      <c r="J43" s="14" t="n">
        <v>0.448995104445562</v>
      </c>
      <c r="K43" s="12" t="s">
        <v>33</v>
      </c>
      <c r="L43" s="15" t="n">
        <v>833</v>
      </c>
      <c r="M43" s="15" t="n">
        <v>7</v>
      </c>
    </row>
    <row r="44" customFormat="false" ht="15" hidden="false" customHeight="false" outlineLevel="0" collapsed="false">
      <c r="A44" s="12" t="s">
        <v>28</v>
      </c>
      <c r="B44" s="7" t="s">
        <v>29</v>
      </c>
      <c r="C44" s="12" t="s">
        <v>51</v>
      </c>
      <c r="D44" s="7" t="s">
        <v>31</v>
      </c>
      <c r="E44" s="7" t="s">
        <v>31</v>
      </c>
      <c r="F44" s="12" t="n">
        <f aca="false">IF(D44=E44,1,0)</f>
        <v>1</v>
      </c>
      <c r="G44" s="13" t="n">
        <v>0.151428571428571</v>
      </c>
      <c r="H44" s="14" t="n">
        <v>0.248822870522405</v>
      </c>
      <c r="I44" s="14" t="n">
        <v>0.217424692073912</v>
      </c>
      <c r="J44" s="14" t="n">
        <v>0.533752437403683</v>
      </c>
      <c r="K44" s="12" t="s">
        <v>33</v>
      </c>
      <c r="L44" s="15" t="n">
        <v>833</v>
      </c>
      <c r="M44" s="15" t="n">
        <v>7</v>
      </c>
    </row>
    <row r="45" customFormat="false" ht="15" hidden="false" customHeight="false" outlineLevel="0" collapsed="false">
      <c r="A45" s="12" t="s">
        <v>34</v>
      </c>
      <c r="B45" s="7" t="s">
        <v>35</v>
      </c>
      <c r="C45" s="12" t="s">
        <v>51</v>
      </c>
      <c r="D45" s="7" t="s">
        <v>31</v>
      </c>
      <c r="E45" s="7" t="s">
        <v>31</v>
      </c>
      <c r="F45" s="12" t="n">
        <f aca="false">IF(D45=E45,1,0)</f>
        <v>1</v>
      </c>
      <c r="G45" s="13" t="n">
        <v>0.0168674698795181</v>
      </c>
      <c r="H45" s="14" t="n">
        <v>0.340658079746132</v>
      </c>
      <c r="I45" s="14" t="n">
        <v>0.237832957251683</v>
      </c>
      <c r="J45" s="14" t="n">
        <v>0.421508963002186</v>
      </c>
      <c r="K45" s="12" t="s">
        <v>33</v>
      </c>
      <c r="L45" s="15" t="n">
        <v>833</v>
      </c>
      <c r="M45" s="15" t="n">
        <v>7</v>
      </c>
    </row>
    <row r="46" customFormat="false" ht="15" hidden="false" customHeight="false" outlineLevel="0" collapsed="false">
      <c r="A46" s="12" t="s">
        <v>36</v>
      </c>
      <c r="B46" s="7" t="s">
        <v>37</v>
      </c>
      <c r="C46" s="12" t="s">
        <v>51</v>
      </c>
      <c r="D46" s="7" t="s">
        <v>31</v>
      </c>
      <c r="E46" s="7" t="s">
        <v>40</v>
      </c>
      <c r="F46" s="12" t="n">
        <f aca="false">IF(D46=E46,1,0)</f>
        <v>0</v>
      </c>
      <c r="G46" s="13" t="n">
        <v>-0.0024330900243308</v>
      </c>
      <c r="H46" s="14" t="n">
        <v>0.308271842953698</v>
      </c>
      <c r="I46" s="14" t="n">
        <v>0.262698006110414</v>
      </c>
      <c r="J46" s="14" t="n">
        <v>0.429030150935888</v>
      </c>
      <c r="K46" s="12" t="s">
        <v>33</v>
      </c>
      <c r="L46" s="15" t="n">
        <v>833</v>
      </c>
      <c r="M46" s="15" t="n">
        <v>7</v>
      </c>
    </row>
    <row r="47" customFormat="false" ht="15" hidden="false" customHeight="false" outlineLevel="0" collapsed="false">
      <c r="A47" s="12" t="s">
        <v>38</v>
      </c>
      <c r="B47" s="7" t="s">
        <v>39</v>
      </c>
      <c r="C47" s="12" t="s">
        <v>51</v>
      </c>
      <c r="D47" s="7" t="s">
        <v>31</v>
      </c>
      <c r="E47" s="7" t="s">
        <v>31</v>
      </c>
      <c r="F47" s="12" t="n">
        <f aca="false">IF(D47=E47,1,0)</f>
        <v>1</v>
      </c>
      <c r="G47" s="13" t="n">
        <v>0.215116279069767</v>
      </c>
      <c r="H47" s="14" t="n">
        <v>0.251570990566459</v>
      </c>
      <c r="I47" s="14" t="n">
        <v>0.21632073442911</v>
      </c>
      <c r="J47" s="14" t="n">
        <v>0.532108275004431</v>
      </c>
      <c r="K47" s="12" t="s">
        <v>33</v>
      </c>
      <c r="L47" s="15" t="n">
        <v>833</v>
      </c>
      <c r="M47" s="15" t="n">
        <v>7</v>
      </c>
    </row>
    <row r="48" customFormat="false" ht="15" hidden="false" customHeight="false" outlineLevel="0" collapsed="false">
      <c r="A48" s="12" t="s">
        <v>41</v>
      </c>
      <c r="B48" s="7" t="s">
        <v>42</v>
      </c>
      <c r="C48" s="12" t="s">
        <v>51</v>
      </c>
      <c r="D48" s="7" t="s">
        <v>31</v>
      </c>
      <c r="E48" s="7" t="s">
        <v>40</v>
      </c>
      <c r="F48" s="12" t="n">
        <f aca="false">IF(D48=E48,1,0)</f>
        <v>0</v>
      </c>
      <c r="G48" s="13" t="n">
        <v>0.0024875621890547</v>
      </c>
      <c r="H48" s="14" t="n">
        <v>0.265596679857892</v>
      </c>
      <c r="I48" s="14" t="n">
        <v>0.281573821304213</v>
      </c>
      <c r="J48" s="14" t="n">
        <v>0.452829498837895</v>
      </c>
      <c r="K48" s="12" t="s">
        <v>33</v>
      </c>
      <c r="L48" s="15" t="n">
        <v>833</v>
      </c>
      <c r="M48" s="15" t="n">
        <v>7</v>
      </c>
    </row>
    <row r="49" customFormat="false" ht="15" hidden="false" customHeight="false" outlineLevel="0" collapsed="false">
      <c r="A49" s="12" t="s">
        <v>43</v>
      </c>
      <c r="B49" s="7" t="s">
        <v>44</v>
      </c>
      <c r="C49" s="12" t="s">
        <v>51</v>
      </c>
      <c r="D49" s="7" t="s">
        <v>31</v>
      </c>
      <c r="E49" s="7" t="s">
        <v>31</v>
      </c>
      <c r="F49" s="12" t="n">
        <f aca="false">IF(D49=E49,1,0)</f>
        <v>1</v>
      </c>
      <c r="G49" s="13" t="n">
        <v>0.0385144429160935</v>
      </c>
      <c r="H49" s="14" t="n">
        <v>0.27006522783797</v>
      </c>
      <c r="I49" s="14" t="n">
        <v>0.280939667716468</v>
      </c>
      <c r="J49" s="14" t="n">
        <v>0.448995104445562</v>
      </c>
      <c r="K49" s="12" t="s">
        <v>33</v>
      </c>
      <c r="L49" s="15" t="n">
        <v>833</v>
      </c>
      <c r="M49" s="15" t="n">
        <v>7</v>
      </c>
    </row>
    <row r="50" customFormat="false" ht="15" hidden="false" customHeight="false" outlineLevel="0" collapsed="false">
      <c r="A50" s="12" t="s">
        <v>28</v>
      </c>
      <c r="B50" s="7" t="s">
        <v>29</v>
      </c>
      <c r="C50" s="12" t="s">
        <v>52</v>
      </c>
      <c r="D50" s="7" t="s">
        <v>31</v>
      </c>
      <c r="E50" s="7" t="s">
        <v>31</v>
      </c>
      <c r="F50" s="12" t="n">
        <f aca="false">IF(D50=E50,1,0)</f>
        <v>1</v>
      </c>
      <c r="G50" s="13" t="n">
        <v>0.128851540616246</v>
      </c>
      <c r="H50" s="14" t="n">
        <v>0.301827585408845</v>
      </c>
      <c r="I50" s="14" t="n">
        <v>0.223331206025427</v>
      </c>
      <c r="J50" s="14" t="n">
        <v>0.474841208565729</v>
      </c>
      <c r="K50" s="12" t="s">
        <v>33</v>
      </c>
      <c r="L50" s="15" t="n">
        <v>833</v>
      </c>
      <c r="M50" s="15" t="n">
        <v>7</v>
      </c>
    </row>
    <row r="51" customFormat="false" ht="15" hidden="false" customHeight="false" outlineLevel="0" collapsed="false">
      <c r="A51" s="12" t="s">
        <v>34</v>
      </c>
      <c r="B51" s="7" t="s">
        <v>35</v>
      </c>
      <c r="C51" s="12" t="s">
        <v>52</v>
      </c>
      <c r="D51" s="7" t="s">
        <v>31</v>
      </c>
      <c r="E51" s="7" t="s">
        <v>31</v>
      </c>
      <c r="F51" s="12" t="n">
        <f aca="false">IF(D51=E51,1,0)</f>
        <v>1</v>
      </c>
      <c r="G51" s="13" t="n">
        <v>0.0650602409638554</v>
      </c>
      <c r="H51" s="14" t="n">
        <v>0.333984339610918</v>
      </c>
      <c r="I51" s="14" t="n">
        <v>0.233238710505039</v>
      </c>
      <c r="J51" s="14" t="n">
        <v>0.432776949884043</v>
      </c>
      <c r="K51" s="12" t="s">
        <v>33</v>
      </c>
      <c r="L51" s="15" t="n">
        <v>833</v>
      </c>
      <c r="M51" s="15" t="n">
        <v>7</v>
      </c>
    </row>
    <row r="52" customFormat="false" ht="15" hidden="false" customHeight="false" outlineLevel="0" collapsed="false">
      <c r="A52" s="12" t="s">
        <v>36</v>
      </c>
      <c r="B52" s="7" t="s">
        <v>37</v>
      </c>
      <c r="C52" s="12" t="s">
        <v>52</v>
      </c>
      <c r="D52" s="7" t="s">
        <v>31</v>
      </c>
      <c r="E52" s="7" t="s">
        <v>32</v>
      </c>
      <c r="F52" s="12" t="n">
        <f aca="false">IF(D52=E52,1,0)</f>
        <v>0</v>
      </c>
      <c r="G52" s="13" t="n">
        <v>-0.0144230769230768</v>
      </c>
      <c r="H52" s="14" t="n">
        <v>0.331216881995415</v>
      </c>
      <c r="I52" s="14" t="n">
        <v>0.253132432135592</v>
      </c>
      <c r="J52" s="14" t="n">
        <v>0.415650685868993</v>
      </c>
      <c r="K52" s="12" t="s">
        <v>33</v>
      </c>
      <c r="L52" s="15" t="n">
        <v>833</v>
      </c>
      <c r="M52" s="15" t="n">
        <v>7</v>
      </c>
    </row>
    <row r="53" customFormat="false" ht="15" hidden="false" customHeight="false" outlineLevel="0" collapsed="false">
      <c r="A53" s="12" t="s">
        <v>38</v>
      </c>
      <c r="B53" s="7" t="s">
        <v>39</v>
      </c>
      <c r="C53" s="12" t="s">
        <v>52</v>
      </c>
      <c r="D53" s="7" t="s">
        <v>31</v>
      </c>
      <c r="E53" s="7" t="s">
        <v>31</v>
      </c>
      <c r="F53" s="12" t="n">
        <f aca="false">IF(D53=E53,1,0)</f>
        <v>1</v>
      </c>
      <c r="G53" s="13" t="n">
        <v>0.282122905027933</v>
      </c>
      <c r="H53" s="14" t="n">
        <v>0.287282889696038</v>
      </c>
      <c r="I53" s="14" t="n">
        <v>0.237846251220153</v>
      </c>
      <c r="J53" s="14" t="n">
        <v>0.474870859083809</v>
      </c>
      <c r="K53" s="12" t="s">
        <v>33</v>
      </c>
      <c r="L53" s="15" t="n">
        <v>833</v>
      </c>
      <c r="M53" s="15" t="n">
        <v>7</v>
      </c>
    </row>
    <row r="54" customFormat="false" ht="15" hidden="false" customHeight="false" outlineLevel="0" collapsed="false">
      <c r="A54" s="12" t="s">
        <v>41</v>
      </c>
      <c r="B54" s="7" t="s">
        <v>42</v>
      </c>
      <c r="C54" s="12" t="s">
        <v>52</v>
      </c>
      <c r="D54" s="7" t="s">
        <v>31</v>
      </c>
      <c r="E54" s="7" t="s">
        <v>40</v>
      </c>
      <c r="F54" s="12" t="n">
        <f aca="false">IF(D54=E54,1,0)</f>
        <v>0</v>
      </c>
      <c r="G54" s="13" t="n">
        <v>-0.0049261083743842</v>
      </c>
      <c r="H54" s="14" t="n">
        <v>0.294523290079058</v>
      </c>
      <c r="I54" s="14" t="n">
        <v>0.247949690426263</v>
      </c>
      <c r="J54" s="14" t="n">
        <v>0.457527019494679</v>
      </c>
      <c r="K54" s="12" t="s">
        <v>33</v>
      </c>
      <c r="L54" s="15" t="n">
        <v>833</v>
      </c>
      <c r="M54" s="15" t="n">
        <v>7</v>
      </c>
    </row>
    <row r="55" customFormat="false" ht="15" hidden="false" customHeight="false" outlineLevel="0" collapsed="false">
      <c r="A55" s="12" t="s">
        <v>43</v>
      </c>
      <c r="B55" s="7" t="s">
        <v>44</v>
      </c>
      <c r="C55" s="12" t="s">
        <v>52</v>
      </c>
      <c r="D55" s="7" t="s">
        <v>31</v>
      </c>
      <c r="E55" s="7" t="s">
        <v>31</v>
      </c>
      <c r="F55" s="12" t="n">
        <f aca="false">IF(D55=E55,1,0)</f>
        <v>1</v>
      </c>
      <c r="G55" s="13" t="n">
        <v>0.0411522633744856</v>
      </c>
      <c r="H55" s="14" t="n">
        <v>0.286116383655643</v>
      </c>
      <c r="I55" s="14" t="n">
        <v>0.253410337092024</v>
      </c>
      <c r="J55" s="14" t="n">
        <v>0.460473279252333</v>
      </c>
      <c r="K55" s="12" t="s">
        <v>33</v>
      </c>
      <c r="L55" s="15" t="n">
        <v>833</v>
      </c>
      <c r="M55" s="15" t="n">
        <v>7</v>
      </c>
    </row>
    <row r="56" customFormat="false" ht="15" hidden="false" customHeight="false" outlineLevel="0" collapsed="false">
      <c r="A56" s="12" t="s">
        <v>28</v>
      </c>
      <c r="B56" s="7" t="s">
        <v>29</v>
      </c>
      <c r="C56" s="12" t="s">
        <v>53</v>
      </c>
      <c r="D56" s="7" t="s">
        <v>31</v>
      </c>
      <c r="E56" s="7" t="s">
        <v>31</v>
      </c>
      <c r="F56" s="12" t="n">
        <f aca="false">IF(D56=E56,1,0)</f>
        <v>1</v>
      </c>
      <c r="G56" s="13" t="n">
        <v>0.0731707317073171</v>
      </c>
      <c r="H56" s="14" t="n">
        <v>0.276921411267604</v>
      </c>
      <c r="I56" s="14" t="n">
        <v>0.282474091737208</v>
      </c>
      <c r="J56" s="14" t="n">
        <v>0.440604496995188</v>
      </c>
      <c r="K56" s="12" t="s">
        <v>33</v>
      </c>
      <c r="L56" s="15" t="n">
        <v>833</v>
      </c>
      <c r="M56" s="15" t="n">
        <v>7</v>
      </c>
    </row>
    <row r="57" customFormat="false" ht="15" hidden="false" customHeight="false" outlineLevel="0" collapsed="false">
      <c r="A57" s="12" t="s">
        <v>34</v>
      </c>
      <c r="B57" s="7" t="s">
        <v>35</v>
      </c>
      <c r="C57" s="12" t="s">
        <v>53</v>
      </c>
      <c r="D57" s="7" t="s">
        <v>31</v>
      </c>
      <c r="E57" s="7" t="s">
        <v>31</v>
      </c>
      <c r="F57" s="12" t="n">
        <f aca="false">IF(D57=E57,1,0)</f>
        <v>1</v>
      </c>
      <c r="G57" s="13" t="n">
        <v>0.0869565217391303</v>
      </c>
      <c r="H57" s="14" t="n">
        <v>0.349636009169424</v>
      </c>
      <c r="I57" s="14" t="n">
        <v>0.250119159291772</v>
      </c>
      <c r="J57" s="14" t="n">
        <v>0.400244831538804</v>
      </c>
      <c r="K57" s="12" t="s">
        <v>33</v>
      </c>
      <c r="L57" s="15" t="n">
        <v>833</v>
      </c>
      <c r="M57" s="15" t="n">
        <v>7</v>
      </c>
    </row>
    <row r="58" customFormat="false" ht="15" hidden="false" customHeight="false" outlineLevel="0" collapsed="false">
      <c r="A58" s="12" t="s">
        <v>36</v>
      </c>
      <c r="B58" s="7" t="s">
        <v>37</v>
      </c>
      <c r="C58" s="12" t="s">
        <v>53</v>
      </c>
      <c r="D58" s="7" t="s">
        <v>31</v>
      </c>
      <c r="E58" s="7" t="s">
        <v>40</v>
      </c>
      <c r="F58" s="12" t="n">
        <f aca="false">IF(D58=E58,1,0)</f>
        <v>0</v>
      </c>
      <c r="G58" s="13" t="n">
        <v>-0.0023980815347721</v>
      </c>
      <c r="H58" s="14" t="n">
        <v>0.324039484675999</v>
      </c>
      <c r="I58" s="14" t="n">
        <v>0.259546682481116</v>
      </c>
      <c r="J58" s="14" t="n">
        <v>0.416413832842885</v>
      </c>
      <c r="K58" s="12" t="s">
        <v>33</v>
      </c>
      <c r="L58" s="15" t="n">
        <v>833</v>
      </c>
      <c r="M58" s="15" t="n">
        <v>7</v>
      </c>
    </row>
    <row r="59" customFormat="false" ht="15" hidden="false" customHeight="false" outlineLevel="0" collapsed="false">
      <c r="A59" s="12" t="s">
        <v>38</v>
      </c>
      <c r="B59" s="7" t="s">
        <v>39</v>
      </c>
      <c r="C59" s="12" t="s">
        <v>53</v>
      </c>
      <c r="D59" s="7" t="s">
        <v>31</v>
      </c>
      <c r="E59" s="7" t="s">
        <v>31</v>
      </c>
      <c r="F59" s="12" t="n">
        <f aca="false">IF(D59=E59,1,0)</f>
        <v>1</v>
      </c>
      <c r="G59" s="13" t="n">
        <v>0.1688654353562</v>
      </c>
      <c r="H59" s="14" t="n">
        <v>0.295907010182878</v>
      </c>
      <c r="I59" s="14" t="n">
        <v>0.26227684500881</v>
      </c>
      <c r="J59" s="14" t="n">
        <v>0.441816144808312</v>
      </c>
      <c r="K59" s="12" t="s">
        <v>33</v>
      </c>
      <c r="L59" s="15" t="n">
        <v>833</v>
      </c>
      <c r="M59" s="15" t="n">
        <v>7</v>
      </c>
    </row>
    <row r="60" customFormat="false" ht="15" hidden="false" customHeight="false" outlineLevel="0" collapsed="false">
      <c r="A60" s="12" t="s">
        <v>41</v>
      </c>
      <c r="B60" s="7" t="s">
        <v>42</v>
      </c>
      <c r="C60" s="12" t="s">
        <v>53</v>
      </c>
      <c r="D60" s="7" t="s">
        <v>31</v>
      </c>
      <c r="E60" s="7" t="s">
        <v>40</v>
      </c>
      <c r="F60" s="12" t="n">
        <f aca="false">IF(D60=E60,1,0)</f>
        <v>0</v>
      </c>
      <c r="G60" s="13" t="n">
        <v>-0.0024813895781637</v>
      </c>
      <c r="H60" s="14" t="n">
        <v>0.315735678099842</v>
      </c>
      <c r="I60" s="14" t="n">
        <v>0.239746015068392</v>
      </c>
      <c r="J60" s="14" t="n">
        <v>0.444518306831765</v>
      </c>
      <c r="K60" s="12" t="s">
        <v>33</v>
      </c>
      <c r="L60" s="15" t="n">
        <v>833</v>
      </c>
      <c r="M60" s="15" t="n">
        <v>7</v>
      </c>
    </row>
    <row r="61" customFormat="false" ht="15" hidden="false" customHeight="false" outlineLevel="0" collapsed="false">
      <c r="A61" s="12" t="s">
        <v>43</v>
      </c>
      <c r="B61" s="7" t="s">
        <v>44</v>
      </c>
      <c r="C61" s="12" t="s">
        <v>53</v>
      </c>
      <c r="D61" s="7" t="s">
        <v>31</v>
      </c>
      <c r="E61" s="7" t="s">
        <v>40</v>
      </c>
      <c r="F61" s="12" t="n">
        <f aca="false">IF(D61=E61,1,0)</f>
        <v>0</v>
      </c>
      <c r="G61" s="13" t="n">
        <v>0.0080862533692722</v>
      </c>
      <c r="H61" s="14" t="n">
        <v>0.26636029829042</v>
      </c>
      <c r="I61" s="14" t="n">
        <v>0.283679345555607</v>
      </c>
      <c r="J61" s="14" t="n">
        <v>0.449960356153973</v>
      </c>
      <c r="K61" s="12" t="s">
        <v>33</v>
      </c>
      <c r="L61" s="15" t="n">
        <v>833</v>
      </c>
      <c r="M61" s="15" t="n">
        <v>7</v>
      </c>
    </row>
    <row r="62" customFormat="false" ht="15" hidden="false" customHeight="false" outlineLevel="0" collapsed="false">
      <c r="A62" s="12" t="s">
        <v>28</v>
      </c>
      <c r="B62" s="7" t="s">
        <v>29</v>
      </c>
      <c r="C62" s="12" t="s">
        <v>54</v>
      </c>
      <c r="D62" s="7" t="s">
        <v>31</v>
      </c>
      <c r="E62" s="7" t="s">
        <v>31</v>
      </c>
      <c r="F62" s="12" t="n">
        <f aca="false">IF(D62=E62,1,0)</f>
        <v>1</v>
      </c>
      <c r="G62" s="13" t="n">
        <v>0.127717391304348</v>
      </c>
      <c r="H62" s="14" t="n">
        <v>0.295795702894758</v>
      </c>
      <c r="I62" s="14" t="n">
        <v>0.246790504476127</v>
      </c>
      <c r="J62" s="14" t="n">
        <v>0.457413792629116</v>
      </c>
      <c r="K62" s="12" t="s">
        <v>33</v>
      </c>
      <c r="L62" s="15" t="n">
        <v>833</v>
      </c>
      <c r="M62" s="15" t="n">
        <v>7</v>
      </c>
    </row>
    <row r="63" customFormat="false" ht="15" hidden="false" customHeight="false" outlineLevel="0" collapsed="false">
      <c r="A63" s="12" t="s">
        <v>34</v>
      </c>
      <c r="B63" s="7" t="s">
        <v>35</v>
      </c>
      <c r="C63" s="12" t="s">
        <v>54</v>
      </c>
      <c r="D63" s="7" t="s">
        <v>31</v>
      </c>
      <c r="E63" s="7" t="s">
        <v>31</v>
      </c>
      <c r="F63" s="12" t="n">
        <f aca="false">IF(D63=E63,1,0)</f>
        <v>1</v>
      </c>
      <c r="G63" s="13" t="n">
        <v>0.075242718446602</v>
      </c>
      <c r="H63" s="14" t="n">
        <v>0.35799680886776</v>
      </c>
      <c r="I63" s="14" t="n">
        <v>0.232187357811498</v>
      </c>
      <c r="J63" s="14" t="n">
        <v>0.409815833320742</v>
      </c>
      <c r="K63" s="12" t="s">
        <v>33</v>
      </c>
      <c r="L63" s="15" t="n">
        <v>833</v>
      </c>
      <c r="M63" s="15" t="n">
        <v>7</v>
      </c>
    </row>
    <row r="64" customFormat="false" ht="15" hidden="false" customHeight="false" outlineLevel="0" collapsed="false">
      <c r="A64" s="12" t="s">
        <v>36</v>
      </c>
      <c r="B64" s="7" t="s">
        <v>37</v>
      </c>
      <c r="C64" s="12" t="s">
        <v>54</v>
      </c>
      <c r="D64" s="7" t="s">
        <v>31</v>
      </c>
      <c r="E64" s="7" t="s">
        <v>31</v>
      </c>
      <c r="F64" s="12" t="n">
        <f aca="false">IF(D64=E64,1,0)</f>
        <v>1</v>
      </c>
      <c r="G64" s="13" t="n">
        <v>0.0763546798029557</v>
      </c>
      <c r="H64" s="14" t="n">
        <v>0.317066669567445</v>
      </c>
      <c r="I64" s="14" t="n">
        <v>0.244493291933824</v>
      </c>
      <c r="J64" s="14" t="n">
        <v>0.438440038498731</v>
      </c>
      <c r="K64" s="12" t="s">
        <v>33</v>
      </c>
      <c r="L64" s="15" t="n">
        <v>833</v>
      </c>
      <c r="M64" s="15" t="n">
        <v>7</v>
      </c>
    </row>
    <row r="65" customFormat="false" ht="15" hidden="false" customHeight="false" outlineLevel="0" collapsed="false">
      <c r="A65" s="12" t="s">
        <v>38</v>
      </c>
      <c r="B65" s="7" t="s">
        <v>39</v>
      </c>
      <c r="C65" s="12" t="s">
        <v>54</v>
      </c>
      <c r="D65" s="7" t="s">
        <v>31</v>
      </c>
      <c r="E65" s="7" t="s">
        <v>31</v>
      </c>
      <c r="F65" s="12" t="n">
        <f aca="false">IF(D65=E65,1,0)</f>
        <v>1</v>
      </c>
      <c r="G65" s="13" t="n">
        <v>0.264935064935065</v>
      </c>
      <c r="H65" s="14" t="n">
        <v>0.290609821965289</v>
      </c>
      <c r="I65" s="14" t="n">
        <v>0.268483720380651</v>
      </c>
      <c r="J65" s="14" t="n">
        <v>0.440906457654061</v>
      </c>
      <c r="K65" s="12" t="s">
        <v>33</v>
      </c>
      <c r="L65" s="15" t="n">
        <v>833</v>
      </c>
      <c r="M65" s="15" t="n">
        <v>7</v>
      </c>
    </row>
    <row r="66" customFormat="false" ht="15" hidden="false" customHeight="false" outlineLevel="0" collapsed="false">
      <c r="A66" s="12" t="s">
        <v>41</v>
      </c>
      <c r="B66" s="7" t="s">
        <v>42</v>
      </c>
      <c r="C66" s="12" t="s">
        <v>54</v>
      </c>
      <c r="D66" s="7" t="s">
        <v>31</v>
      </c>
      <c r="E66" s="7" t="s">
        <v>31</v>
      </c>
      <c r="F66" s="12" t="n">
        <f aca="false">IF(D66=E66,1,0)</f>
        <v>1</v>
      </c>
      <c r="G66" s="13" t="n">
        <v>0.0176767676767677</v>
      </c>
      <c r="H66" s="14" t="n">
        <v>0.268918991497116</v>
      </c>
      <c r="I66" s="14" t="n">
        <v>0.267130260582837</v>
      </c>
      <c r="J66" s="14" t="n">
        <v>0.463950747920046</v>
      </c>
      <c r="K66" s="12" t="s">
        <v>33</v>
      </c>
      <c r="L66" s="15" t="n">
        <v>833</v>
      </c>
      <c r="M66" s="15" t="n">
        <v>7</v>
      </c>
    </row>
    <row r="67" customFormat="false" ht="15" hidden="false" customHeight="false" outlineLevel="0" collapsed="false">
      <c r="A67" s="12" t="s">
        <v>43</v>
      </c>
      <c r="B67" s="7" t="s">
        <v>44</v>
      </c>
      <c r="C67" s="12" t="s">
        <v>54</v>
      </c>
      <c r="D67" s="7" t="s">
        <v>31</v>
      </c>
      <c r="E67" s="7" t="s">
        <v>40</v>
      </c>
      <c r="F67" s="12" t="n">
        <f aca="false">IF(D67=E67,1,0)</f>
        <v>0</v>
      </c>
      <c r="G67" s="13" t="n">
        <v>-0.0013333333333332</v>
      </c>
      <c r="H67" s="14" t="n">
        <v>0.27285114880805</v>
      </c>
      <c r="I67" s="14" t="n">
        <v>0.287840959045978</v>
      </c>
      <c r="J67" s="14" t="n">
        <v>0.439307892145972</v>
      </c>
      <c r="K67" s="12" t="s">
        <v>33</v>
      </c>
      <c r="L67" s="15" t="n">
        <v>833</v>
      </c>
      <c r="M67" s="15" t="n">
        <v>7</v>
      </c>
    </row>
    <row r="68" customFormat="false" ht="15" hidden="false" customHeight="false" outlineLevel="0" collapsed="false">
      <c r="A68" s="12" t="s">
        <v>28</v>
      </c>
      <c r="B68" s="7" t="s">
        <v>29</v>
      </c>
      <c r="C68" s="12" t="s">
        <v>55</v>
      </c>
      <c r="D68" s="7" t="s">
        <v>31</v>
      </c>
      <c r="E68" s="7" t="s">
        <v>31</v>
      </c>
      <c r="F68" s="12" t="n">
        <f aca="false">IF(D68=E68,1,0)</f>
        <v>1</v>
      </c>
      <c r="G68" s="13" t="n">
        <v>0.063157894736842</v>
      </c>
      <c r="H68" s="14" t="n">
        <v>0.304728653048934</v>
      </c>
      <c r="I68" s="14" t="n">
        <v>0.243631564275762</v>
      </c>
      <c r="J68" s="14" t="n">
        <v>0.451639782675305</v>
      </c>
      <c r="K68" s="12" t="s">
        <v>33</v>
      </c>
      <c r="L68" s="15" t="n">
        <v>833</v>
      </c>
      <c r="M68" s="15" t="n">
        <v>7</v>
      </c>
    </row>
    <row r="69" customFormat="false" ht="15" hidden="false" customHeight="false" outlineLevel="0" collapsed="false">
      <c r="A69" s="12" t="s">
        <v>34</v>
      </c>
      <c r="B69" s="7" t="s">
        <v>35</v>
      </c>
      <c r="C69" s="12" t="s">
        <v>55</v>
      </c>
      <c r="D69" s="7" t="s">
        <v>31</v>
      </c>
      <c r="E69" s="7" t="s">
        <v>31</v>
      </c>
      <c r="F69" s="12" t="n">
        <f aca="false">IF(D69=E69,1,0)</f>
        <v>1</v>
      </c>
      <c r="G69" s="13" t="n">
        <v>0.0987951807228915</v>
      </c>
      <c r="H69" s="14" t="n">
        <v>0.352950510014611</v>
      </c>
      <c r="I69" s="14" t="n">
        <v>0.252490254210854</v>
      </c>
      <c r="J69" s="14" t="n">
        <v>0.394559235774535</v>
      </c>
      <c r="K69" s="12" t="s">
        <v>33</v>
      </c>
      <c r="L69" s="15" t="n">
        <v>833</v>
      </c>
      <c r="M69" s="15" t="n">
        <v>7</v>
      </c>
    </row>
    <row r="70" customFormat="false" ht="15" hidden="false" customHeight="false" outlineLevel="0" collapsed="false">
      <c r="A70" s="12" t="s">
        <v>36</v>
      </c>
      <c r="B70" s="7" t="s">
        <v>37</v>
      </c>
      <c r="C70" s="12" t="s">
        <v>55</v>
      </c>
      <c r="D70" s="7" t="s">
        <v>31</v>
      </c>
      <c r="E70" s="7" t="s">
        <v>31</v>
      </c>
      <c r="F70" s="12" t="n">
        <f aca="false">IF(D70=E70,1,0)</f>
        <v>1</v>
      </c>
      <c r="G70" s="13" t="n">
        <v>0.118518518518518</v>
      </c>
      <c r="H70" s="14" t="n">
        <v>0.3200556914647</v>
      </c>
      <c r="I70" s="14" t="n">
        <v>0.258363018293217</v>
      </c>
      <c r="J70" s="14" t="n">
        <v>0.421581290242084</v>
      </c>
      <c r="K70" s="12" t="s">
        <v>33</v>
      </c>
      <c r="L70" s="15" t="n">
        <v>833</v>
      </c>
      <c r="M70" s="15" t="n">
        <v>7</v>
      </c>
    </row>
    <row r="71" customFormat="false" ht="15" hidden="false" customHeight="false" outlineLevel="0" collapsed="false">
      <c r="A71" s="12" t="s">
        <v>38</v>
      </c>
      <c r="B71" s="7" t="s">
        <v>39</v>
      </c>
      <c r="C71" s="12" t="s">
        <v>55</v>
      </c>
      <c r="D71" s="7" t="s">
        <v>31</v>
      </c>
      <c r="E71" s="7" t="s">
        <v>31</v>
      </c>
      <c r="F71" s="12" t="n">
        <f aca="false">IF(D71=E71,1,0)</f>
        <v>1</v>
      </c>
      <c r="G71" s="13" t="n">
        <v>0.281578947368421</v>
      </c>
      <c r="H71" s="14" t="n">
        <v>0.248464790994783</v>
      </c>
      <c r="I71" s="14" t="n">
        <v>0.269728356436806</v>
      </c>
      <c r="J71" s="14" t="n">
        <v>0.481806852568411</v>
      </c>
      <c r="K71" s="12" t="s">
        <v>33</v>
      </c>
      <c r="L71" s="15" t="n">
        <v>833</v>
      </c>
      <c r="M71" s="15" t="n">
        <v>7</v>
      </c>
    </row>
    <row r="72" customFormat="false" ht="15" hidden="false" customHeight="false" outlineLevel="0" collapsed="false">
      <c r="A72" s="12" t="s">
        <v>41</v>
      </c>
      <c r="B72" s="7" t="s">
        <v>42</v>
      </c>
      <c r="C72" s="12" t="s">
        <v>55</v>
      </c>
      <c r="D72" s="7" t="s">
        <v>31</v>
      </c>
      <c r="E72" s="7" t="s">
        <v>31</v>
      </c>
      <c r="F72" s="12" t="n">
        <f aca="false">IF(D72=E72,1,0)</f>
        <v>1</v>
      </c>
      <c r="G72" s="13" t="n">
        <v>0.0126903553299493</v>
      </c>
      <c r="H72" s="14" t="n">
        <v>0.2586354542992</v>
      </c>
      <c r="I72" s="14" t="n">
        <v>0.272594875183757</v>
      </c>
      <c r="J72" s="14" t="n">
        <v>0.468769670517043</v>
      </c>
      <c r="K72" s="12" t="s">
        <v>33</v>
      </c>
      <c r="L72" s="15" t="n">
        <v>833</v>
      </c>
      <c r="M72" s="15" t="n">
        <v>7</v>
      </c>
    </row>
    <row r="73" customFormat="false" ht="15" hidden="false" customHeight="false" outlineLevel="0" collapsed="false">
      <c r="A73" s="12" t="s">
        <v>43</v>
      </c>
      <c r="B73" s="7" t="s">
        <v>44</v>
      </c>
      <c r="C73" s="12" t="s">
        <v>55</v>
      </c>
      <c r="D73" s="7" t="s">
        <v>31</v>
      </c>
      <c r="E73" s="7" t="s">
        <v>40</v>
      </c>
      <c r="F73" s="12" t="n">
        <f aca="false">IF(D73=E73,1,0)</f>
        <v>0</v>
      </c>
      <c r="G73" s="13" t="n">
        <v>-0.0013404825737264</v>
      </c>
      <c r="H73" s="14" t="n">
        <v>0.280153499762378</v>
      </c>
      <c r="I73" s="14" t="n">
        <v>0.284690804809376</v>
      </c>
      <c r="J73" s="14" t="n">
        <v>0.435155695428247</v>
      </c>
      <c r="K73" s="12" t="s">
        <v>33</v>
      </c>
      <c r="L73" s="15" t="n">
        <v>833</v>
      </c>
      <c r="M73" s="15" t="n">
        <v>7</v>
      </c>
    </row>
    <row r="74" customFormat="false" ht="15" hidden="false" customHeight="false" outlineLevel="0" collapsed="false">
      <c r="A74" s="12" t="s">
        <v>28</v>
      </c>
      <c r="B74" s="7" t="s">
        <v>29</v>
      </c>
      <c r="C74" s="12" t="s">
        <v>56</v>
      </c>
      <c r="D74" s="7" t="s">
        <v>31</v>
      </c>
      <c r="E74" s="7" t="s">
        <v>31</v>
      </c>
      <c r="F74" s="12" t="n">
        <f aca="false">IF(D74=E74,1,0)</f>
        <v>1</v>
      </c>
      <c r="G74" s="13" t="n">
        <v>0.054590570719603</v>
      </c>
      <c r="H74" s="14" t="n">
        <v>0.294208808307602</v>
      </c>
      <c r="I74" s="14" t="n">
        <v>0.256689089279271</v>
      </c>
      <c r="J74" s="14" t="n">
        <v>0.449102102413127</v>
      </c>
      <c r="K74" s="12" t="s">
        <v>33</v>
      </c>
      <c r="L74" s="15" t="n">
        <v>833</v>
      </c>
      <c r="M74" s="15" t="n">
        <v>7</v>
      </c>
    </row>
    <row r="75" customFormat="false" ht="15" hidden="false" customHeight="false" outlineLevel="0" collapsed="false">
      <c r="A75" s="12" t="s">
        <v>34</v>
      </c>
      <c r="B75" s="7" t="s">
        <v>35</v>
      </c>
      <c r="C75" s="12" t="s">
        <v>56</v>
      </c>
      <c r="D75" s="7" t="s">
        <v>31</v>
      </c>
      <c r="E75" s="7" t="s">
        <v>31</v>
      </c>
      <c r="F75" s="12" t="n">
        <f aca="false">IF(D75=E75,1,0)</f>
        <v>1</v>
      </c>
      <c r="G75" s="13" t="n">
        <v>0.0687203791469195</v>
      </c>
      <c r="H75" s="14" t="n">
        <v>0.363174609750796</v>
      </c>
      <c r="I75" s="14" t="n">
        <v>0.234249972402884</v>
      </c>
      <c r="J75" s="14" t="n">
        <v>0.40257541784632</v>
      </c>
      <c r="K75" s="12" t="s">
        <v>33</v>
      </c>
      <c r="L75" s="15" t="n">
        <v>833</v>
      </c>
      <c r="M75" s="15" t="n">
        <v>7</v>
      </c>
    </row>
    <row r="76" customFormat="false" ht="15" hidden="false" customHeight="false" outlineLevel="0" collapsed="false">
      <c r="A76" s="12" t="s">
        <v>36</v>
      </c>
      <c r="B76" s="7" t="s">
        <v>37</v>
      </c>
      <c r="C76" s="12" t="s">
        <v>56</v>
      </c>
      <c r="D76" s="7" t="s">
        <v>31</v>
      </c>
      <c r="E76" s="7" t="s">
        <v>31</v>
      </c>
      <c r="F76" s="12" t="n">
        <f aca="false">IF(D76=E76,1,0)</f>
        <v>1</v>
      </c>
      <c r="G76" s="13" t="n">
        <v>0.0804878048780488</v>
      </c>
      <c r="H76" s="14" t="n">
        <v>0.32284057340212</v>
      </c>
      <c r="I76" s="14" t="n">
        <v>0.23914447349548</v>
      </c>
      <c r="J76" s="14" t="n">
        <v>0.4380149531024</v>
      </c>
      <c r="K76" s="12" t="s">
        <v>33</v>
      </c>
      <c r="L76" s="15" t="n">
        <v>833</v>
      </c>
      <c r="M76" s="15" t="n">
        <v>7</v>
      </c>
    </row>
    <row r="77" customFormat="false" ht="15" hidden="false" customHeight="false" outlineLevel="0" collapsed="false">
      <c r="A77" s="12" t="s">
        <v>38</v>
      </c>
      <c r="B77" s="7" t="s">
        <v>39</v>
      </c>
      <c r="C77" s="12" t="s">
        <v>56</v>
      </c>
      <c r="D77" s="7" t="s">
        <v>31</v>
      </c>
      <c r="E77" s="7" t="s">
        <v>31</v>
      </c>
      <c r="F77" s="12" t="n">
        <f aca="false">IF(D77=E77,1,0)</f>
        <v>1</v>
      </c>
      <c r="G77" s="13" t="n">
        <v>0.251196172248804</v>
      </c>
      <c r="H77" s="14" t="n">
        <v>0.244775317550762</v>
      </c>
      <c r="I77" s="14" t="n">
        <v>0.301028409467479</v>
      </c>
      <c r="J77" s="14" t="n">
        <v>0.454196272981759</v>
      </c>
      <c r="K77" s="12" t="s">
        <v>33</v>
      </c>
      <c r="L77" s="15" t="n">
        <v>833</v>
      </c>
      <c r="M77" s="15" t="n">
        <v>7</v>
      </c>
    </row>
    <row r="78" customFormat="false" ht="15" hidden="false" customHeight="false" outlineLevel="0" collapsed="false">
      <c r="A78" s="12" t="s">
        <v>41</v>
      </c>
      <c r="B78" s="7" t="s">
        <v>42</v>
      </c>
      <c r="C78" s="12" t="s">
        <v>56</v>
      </c>
      <c r="D78" s="7" t="s">
        <v>31</v>
      </c>
      <c r="E78" s="7" t="s">
        <v>40</v>
      </c>
      <c r="F78" s="12" t="n">
        <f aca="false">IF(D78=E78,1,0)</f>
        <v>0</v>
      </c>
      <c r="G78" s="13" t="n">
        <v>-0.0074441687344912</v>
      </c>
      <c r="H78" s="14" t="n">
        <v>0.319558551980762</v>
      </c>
      <c r="I78" s="14" t="n">
        <v>0.269699110240375</v>
      </c>
      <c r="J78" s="14" t="n">
        <v>0.410742337778863</v>
      </c>
      <c r="K78" s="12" t="s">
        <v>33</v>
      </c>
      <c r="L78" s="15" t="n">
        <v>833</v>
      </c>
      <c r="M78" s="15" t="n">
        <v>7</v>
      </c>
    </row>
    <row r="79" customFormat="false" ht="15" hidden="false" customHeight="false" outlineLevel="0" collapsed="false">
      <c r="A79" s="12" t="s">
        <v>43</v>
      </c>
      <c r="B79" s="7" t="s">
        <v>44</v>
      </c>
      <c r="C79" s="12" t="s">
        <v>56</v>
      </c>
      <c r="D79" s="7" t="s">
        <v>31</v>
      </c>
      <c r="E79" s="7" t="s">
        <v>40</v>
      </c>
      <c r="F79" s="12" t="n">
        <f aca="false">IF(D79=E79,1,0)</f>
        <v>0</v>
      </c>
      <c r="G79" s="13" t="n">
        <v>-0.0105960264900661</v>
      </c>
      <c r="H79" s="14" t="n">
        <v>0.291212564124871</v>
      </c>
      <c r="I79" s="14" t="n">
        <v>0.304998027169158</v>
      </c>
      <c r="J79" s="14" t="n">
        <v>0.403789408705971</v>
      </c>
      <c r="K79" s="12" t="s">
        <v>33</v>
      </c>
      <c r="L79" s="15" t="n">
        <v>833</v>
      </c>
      <c r="M79" s="15" t="n">
        <v>7</v>
      </c>
    </row>
    <row r="80" customFormat="false" ht="15" hidden="false" customHeight="false" outlineLevel="0" collapsed="false">
      <c r="A80" s="12" t="s">
        <v>28</v>
      </c>
      <c r="B80" s="7" t="s">
        <v>29</v>
      </c>
      <c r="C80" s="12" t="s">
        <v>57</v>
      </c>
      <c r="D80" s="7" t="s">
        <v>31</v>
      </c>
      <c r="E80" s="7" t="s">
        <v>31</v>
      </c>
      <c r="F80" s="12" t="n">
        <f aca="false">IF(D80=E80,1,0)</f>
        <v>1</v>
      </c>
      <c r="G80" s="13" t="n">
        <v>0.0744416873449131</v>
      </c>
      <c r="H80" s="14" t="n">
        <v>0.305236982719653</v>
      </c>
      <c r="I80" s="14" t="n">
        <v>0.254794514451862</v>
      </c>
      <c r="J80" s="14" t="n">
        <v>0.439968502828485</v>
      </c>
      <c r="K80" s="12" t="s">
        <v>33</v>
      </c>
      <c r="L80" s="15" t="n">
        <v>833</v>
      </c>
      <c r="M80" s="15" t="n">
        <v>7</v>
      </c>
    </row>
    <row r="81" customFormat="false" ht="15" hidden="false" customHeight="false" outlineLevel="0" collapsed="false">
      <c r="A81" s="12" t="s">
        <v>34</v>
      </c>
      <c r="B81" s="7" t="s">
        <v>35</v>
      </c>
      <c r="C81" s="12" t="s">
        <v>57</v>
      </c>
      <c r="D81" s="7" t="s">
        <v>31</v>
      </c>
      <c r="E81" s="7" t="s">
        <v>31</v>
      </c>
      <c r="F81" s="12" t="n">
        <f aca="false">IF(D81=E81,1,0)</f>
        <v>1</v>
      </c>
      <c r="G81" s="13" t="n">
        <v>0.0180995475113121</v>
      </c>
      <c r="H81" s="14" t="n">
        <v>0.353649959244096</v>
      </c>
      <c r="I81" s="14" t="n">
        <v>0.214903893069474</v>
      </c>
      <c r="J81" s="14" t="n">
        <v>0.431446147686431</v>
      </c>
      <c r="K81" s="12" t="s">
        <v>33</v>
      </c>
      <c r="L81" s="15" t="n">
        <v>833</v>
      </c>
      <c r="M81" s="15" t="n">
        <v>7</v>
      </c>
    </row>
    <row r="82" customFormat="false" ht="15" hidden="false" customHeight="false" outlineLevel="0" collapsed="false">
      <c r="A82" s="12" t="s">
        <v>36</v>
      </c>
      <c r="B82" s="7" t="s">
        <v>37</v>
      </c>
      <c r="C82" s="12" t="s">
        <v>57</v>
      </c>
      <c r="D82" s="7" t="s">
        <v>31</v>
      </c>
      <c r="E82" s="7" t="s">
        <v>31</v>
      </c>
      <c r="F82" s="12" t="n">
        <f aca="false">IF(D82=E82,1,0)</f>
        <v>1</v>
      </c>
      <c r="G82" s="13" t="n">
        <v>0.0634146341463415</v>
      </c>
      <c r="H82" s="14" t="n">
        <v>0.323374683443415</v>
      </c>
      <c r="I82" s="14" t="n">
        <v>0.242688369121464</v>
      </c>
      <c r="J82" s="14" t="n">
        <v>0.433936947435122</v>
      </c>
      <c r="K82" s="12" t="s">
        <v>33</v>
      </c>
      <c r="L82" s="15" t="n">
        <v>833</v>
      </c>
      <c r="M82" s="15" t="n">
        <v>7</v>
      </c>
    </row>
    <row r="83" customFormat="false" ht="15" hidden="false" customHeight="false" outlineLevel="0" collapsed="false">
      <c r="A83" s="12" t="s">
        <v>38</v>
      </c>
      <c r="B83" s="7" t="s">
        <v>39</v>
      </c>
      <c r="C83" s="12" t="s">
        <v>57</v>
      </c>
      <c r="D83" s="7" t="s">
        <v>31</v>
      </c>
      <c r="E83" s="7" t="s">
        <v>31</v>
      </c>
      <c r="F83" s="12" t="n">
        <f aca="false">IF(D83=E83,1,0)</f>
        <v>1</v>
      </c>
      <c r="G83" s="13" t="n">
        <v>0.122004357298475</v>
      </c>
      <c r="H83" s="14" t="n">
        <v>0.251159905631043</v>
      </c>
      <c r="I83" s="14" t="n">
        <v>0.308880273021955</v>
      </c>
      <c r="J83" s="14" t="n">
        <v>0.439959821347002</v>
      </c>
      <c r="K83" s="12" t="s">
        <v>33</v>
      </c>
      <c r="L83" s="15" t="n">
        <v>833</v>
      </c>
      <c r="M83" s="15" t="n">
        <v>7</v>
      </c>
    </row>
    <row r="84" customFormat="false" ht="15" hidden="false" customHeight="false" outlineLevel="0" collapsed="false">
      <c r="A84" s="12" t="s">
        <v>41</v>
      </c>
      <c r="B84" s="7" t="s">
        <v>42</v>
      </c>
      <c r="C84" s="12" t="s">
        <v>57</v>
      </c>
      <c r="D84" s="7" t="s">
        <v>31</v>
      </c>
      <c r="E84" s="7" t="s">
        <v>40</v>
      </c>
      <c r="F84" s="12" t="n">
        <f aca="false">IF(D84=E84,1,0)</f>
        <v>0</v>
      </c>
      <c r="G84" s="13" t="n">
        <v>-0.0024752475247524</v>
      </c>
      <c r="H84" s="14" t="n">
        <v>0.313794583064926</v>
      </c>
      <c r="I84" s="14" t="n">
        <v>0.261237848673782</v>
      </c>
      <c r="J84" s="14" t="n">
        <v>0.424967568261292</v>
      </c>
      <c r="K84" s="12" t="s">
        <v>33</v>
      </c>
      <c r="L84" s="15" t="n">
        <v>833</v>
      </c>
      <c r="M84" s="15" t="n">
        <v>7</v>
      </c>
    </row>
    <row r="85" customFormat="false" ht="15" hidden="false" customHeight="false" outlineLevel="0" collapsed="false">
      <c r="A85" s="12" t="s">
        <v>43</v>
      </c>
      <c r="B85" s="7" t="s">
        <v>44</v>
      </c>
      <c r="C85" s="12" t="s">
        <v>57</v>
      </c>
      <c r="D85" s="7" t="s">
        <v>31</v>
      </c>
      <c r="E85" s="7" t="s">
        <v>31</v>
      </c>
      <c r="F85" s="12" t="n">
        <f aca="false">IF(D85=E85,1,0)</f>
        <v>1</v>
      </c>
      <c r="G85" s="13" t="n">
        <v>0.035573122529644</v>
      </c>
      <c r="H85" s="14" t="n">
        <v>0.281790389472373</v>
      </c>
      <c r="I85" s="14" t="n">
        <v>0.252549964083436</v>
      </c>
      <c r="J85" s="14" t="n">
        <v>0.465659646444191</v>
      </c>
      <c r="K85" s="12" t="s">
        <v>33</v>
      </c>
      <c r="L85" s="15" t="n">
        <v>833</v>
      </c>
      <c r="M85" s="15" t="n">
        <v>7</v>
      </c>
    </row>
    <row r="86" customFormat="false" ht="15" hidden="false" customHeight="false" outlineLevel="0" collapsed="false">
      <c r="A86" s="12" t="s">
        <v>28</v>
      </c>
      <c r="B86" s="7" t="s">
        <v>29</v>
      </c>
      <c r="C86" s="12" t="s">
        <v>58</v>
      </c>
      <c r="D86" s="7" t="s">
        <v>31</v>
      </c>
      <c r="E86" s="7" t="s">
        <v>31</v>
      </c>
      <c r="F86" s="12" t="n">
        <f aca="false">IF(D86=E86,1,0)</f>
        <v>1</v>
      </c>
      <c r="G86" s="13" t="n">
        <v>0.0934343434343434</v>
      </c>
      <c r="H86" s="14" t="n">
        <v>0.281113302933023</v>
      </c>
      <c r="I86" s="14" t="n">
        <v>0.229277018474188</v>
      </c>
      <c r="J86" s="14" t="n">
        <v>0.489609678592789</v>
      </c>
      <c r="K86" s="12" t="s">
        <v>33</v>
      </c>
      <c r="L86" s="15" t="n">
        <v>833</v>
      </c>
      <c r="M86" s="15" t="n">
        <v>7</v>
      </c>
    </row>
    <row r="87" customFormat="false" ht="15" hidden="false" customHeight="false" outlineLevel="0" collapsed="false">
      <c r="A87" s="12" t="s">
        <v>34</v>
      </c>
      <c r="B87" s="7" t="s">
        <v>35</v>
      </c>
      <c r="C87" s="12" t="s">
        <v>58</v>
      </c>
      <c r="D87" s="7" t="s">
        <v>31</v>
      </c>
      <c r="E87" s="7" t="s">
        <v>32</v>
      </c>
      <c r="F87" s="12" t="n">
        <f aca="false">IF(D87=E87,1,0)</f>
        <v>0</v>
      </c>
      <c r="G87" s="13" t="n">
        <v>-0.0244444444444444</v>
      </c>
      <c r="H87" s="14" t="n">
        <v>0.278908066098736</v>
      </c>
      <c r="I87" s="14" t="n">
        <v>0.249276136216396</v>
      </c>
      <c r="J87" s="14" t="n">
        <v>0.471815797684868</v>
      </c>
      <c r="K87" s="12" t="s">
        <v>33</v>
      </c>
      <c r="L87" s="15" t="n">
        <v>833</v>
      </c>
      <c r="M87" s="15" t="n">
        <v>7</v>
      </c>
    </row>
    <row r="88" customFormat="false" ht="15" hidden="false" customHeight="false" outlineLevel="0" collapsed="false">
      <c r="A88" s="12" t="s">
        <v>36</v>
      </c>
      <c r="B88" s="7" t="s">
        <v>37</v>
      </c>
      <c r="C88" s="12" t="s">
        <v>58</v>
      </c>
      <c r="D88" s="7" t="s">
        <v>31</v>
      </c>
      <c r="E88" s="7" t="s">
        <v>31</v>
      </c>
      <c r="F88" s="12" t="n">
        <f aca="false">IF(D88=E88,1,0)</f>
        <v>1</v>
      </c>
      <c r="G88" s="13" t="n">
        <v>0.0264423076923077</v>
      </c>
      <c r="H88" s="14" t="n">
        <v>0.306779442952827</v>
      </c>
      <c r="I88" s="14" t="n">
        <v>0.229960325632767</v>
      </c>
      <c r="J88" s="14" t="n">
        <v>0.463260231414406</v>
      </c>
      <c r="K88" s="12" t="s">
        <v>33</v>
      </c>
      <c r="L88" s="15" t="n">
        <v>833</v>
      </c>
      <c r="M88" s="15" t="n">
        <v>7</v>
      </c>
    </row>
    <row r="89" customFormat="false" ht="15" hidden="false" customHeight="false" outlineLevel="0" collapsed="false">
      <c r="A89" s="12" t="s">
        <v>38</v>
      </c>
      <c r="B89" s="7" t="s">
        <v>39</v>
      </c>
      <c r="C89" s="12" t="s">
        <v>58</v>
      </c>
      <c r="D89" s="7" t="s">
        <v>31</v>
      </c>
      <c r="E89" s="7" t="s">
        <v>31</v>
      </c>
      <c r="F89" s="12" t="n">
        <f aca="false">IF(D89=E89,1,0)</f>
        <v>1</v>
      </c>
      <c r="G89" s="13" t="n">
        <v>0.178329571106095</v>
      </c>
      <c r="H89" s="14" t="n">
        <v>0.280108481223612</v>
      </c>
      <c r="I89" s="14" t="n">
        <v>0.234300413115759</v>
      </c>
      <c r="J89" s="14" t="n">
        <v>0.485591105660629</v>
      </c>
      <c r="K89" s="12" t="s">
        <v>33</v>
      </c>
      <c r="L89" s="15" t="n">
        <v>833</v>
      </c>
      <c r="M89" s="15" t="n">
        <v>7</v>
      </c>
    </row>
    <row r="90" customFormat="false" ht="15" hidden="false" customHeight="false" outlineLevel="0" collapsed="false">
      <c r="A90" s="12" t="s">
        <v>41</v>
      </c>
      <c r="B90" s="7" t="s">
        <v>42</v>
      </c>
      <c r="C90" s="12" t="s">
        <v>58</v>
      </c>
      <c r="D90" s="7" t="s">
        <v>31</v>
      </c>
      <c r="E90" s="7" t="s">
        <v>40</v>
      </c>
      <c r="F90" s="12" t="n">
        <f aca="false">IF(D90=E90,1,0)</f>
        <v>0</v>
      </c>
      <c r="G90" s="13" t="n">
        <v>0.0049751243781095</v>
      </c>
      <c r="H90" s="14" t="n">
        <v>0.296326022921028</v>
      </c>
      <c r="I90" s="14" t="n">
        <v>0.288078366156071</v>
      </c>
      <c r="J90" s="14" t="n">
        <v>0.415595610922901</v>
      </c>
      <c r="K90" s="12" t="s">
        <v>33</v>
      </c>
      <c r="L90" s="15" t="n">
        <v>833</v>
      </c>
      <c r="M90" s="15" t="n">
        <v>7</v>
      </c>
    </row>
    <row r="91" customFormat="false" ht="15" hidden="false" customHeight="false" outlineLevel="0" collapsed="false">
      <c r="A91" s="12" t="s">
        <v>43</v>
      </c>
      <c r="B91" s="7" t="s">
        <v>44</v>
      </c>
      <c r="C91" s="12" t="s">
        <v>58</v>
      </c>
      <c r="D91" s="7" t="s">
        <v>31</v>
      </c>
      <c r="E91" s="7" t="s">
        <v>31</v>
      </c>
      <c r="F91" s="12" t="n">
        <f aca="false">IF(D91=E91,1,0)</f>
        <v>1</v>
      </c>
      <c r="G91" s="13" t="n">
        <v>0.0320855614973263</v>
      </c>
      <c r="H91" s="14" t="n">
        <v>0.250350779122338</v>
      </c>
      <c r="I91" s="14" t="n">
        <v>0.344018067018406</v>
      </c>
      <c r="J91" s="14" t="n">
        <v>0.405631153859257</v>
      </c>
      <c r="K91" s="12" t="s">
        <v>33</v>
      </c>
      <c r="L91" s="15" t="n">
        <v>833</v>
      </c>
      <c r="M91" s="15" t="n">
        <v>7</v>
      </c>
    </row>
    <row r="92" customFormat="false" ht="15" hidden="false" customHeight="false" outlineLevel="0" collapsed="false">
      <c r="A92" s="12" t="s">
        <v>28</v>
      </c>
      <c r="B92" s="7" t="s">
        <v>29</v>
      </c>
      <c r="C92" s="12" t="s">
        <v>59</v>
      </c>
      <c r="D92" s="7" t="s">
        <v>31</v>
      </c>
      <c r="E92" s="7" t="s">
        <v>31</v>
      </c>
      <c r="F92" s="12" t="n">
        <f aca="false">IF(D92=E92,1,0)</f>
        <v>1</v>
      </c>
      <c r="G92" s="13" t="n">
        <v>0.069879518072289</v>
      </c>
      <c r="H92" s="14" t="n">
        <v>0.282859736428802</v>
      </c>
      <c r="I92" s="14" t="n">
        <v>0.264606365101067</v>
      </c>
      <c r="J92" s="14" t="n">
        <v>0.452533898470131</v>
      </c>
      <c r="K92" s="12" t="s">
        <v>33</v>
      </c>
      <c r="L92" s="15" t="n">
        <v>833</v>
      </c>
      <c r="M92" s="15" t="n">
        <v>7</v>
      </c>
    </row>
    <row r="93" customFormat="false" ht="15" hidden="false" customHeight="false" outlineLevel="0" collapsed="false">
      <c r="A93" s="12" t="s">
        <v>34</v>
      </c>
      <c r="B93" s="7" t="s">
        <v>35</v>
      </c>
      <c r="C93" s="12" t="s">
        <v>59</v>
      </c>
      <c r="D93" s="7" t="s">
        <v>31</v>
      </c>
      <c r="E93" s="7" t="s">
        <v>31</v>
      </c>
      <c r="F93" s="12" t="n">
        <f aca="false">IF(D93=E93,1,0)</f>
        <v>1</v>
      </c>
      <c r="G93" s="13" t="n">
        <v>0.0270880361173815</v>
      </c>
      <c r="H93" s="14" t="n">
        <v>0.280172139620886</v>
      </c>
      <c r="I93" s="14" t="n">
        <v>0.259019467174743</v>
      </c>
      <c r="J93" s="14" t="n">
        <v>0.460808393204371</v>
      </c>
      <c r="K93" s="12" t="s">
        <v>33</v>
      </c>
      <c r="L93" s="15" t="n">
        <v>833</v>
      </c>
      <c r="M93" s="15" t="n">
        <v>7</v>
      </c>
    </row>
    <row r="94" customFormat="false" ht="15" hidden="false" customHeight="false" outlineLevel="0" collapsed="false">
      <c r="A94" s="12" t="s">
        <v>36</v>
      </c>
      <c r="B94" s="7" t="s">
        <v>37</v>
      </c>
      <c r="C94" s="12" t="s">
        <v>59</v>
      </c>
      <c r="D94" s="7" t="s">
        <v>31</v>
      </c>
      <c r="E94" s="7" t="s">
        <v>31</v>
      </c>
      <c r="F94" s="12" t="n">
        <f aca="false">IF(D94=E94,1,0)</f>
        <v>1</v>
      </c>
      <c r="G94" s="13" t="n">
        <v>0.0411899313501145</v>
      </c>
      <c r="H94" s="14" t="n">
        <v>0.311441940014441</v>
      </c>
      <c r="I94" s="14" t="n">
        <v>0.245951320039692</v>
      </c>
      <c r="J94" s="14" t="n">
        <v>0.442606739945867</v>
      </c>
      <c r="K94" s="12" t="s">
        <v>33</v>
      </c>
      <c r="L94" s="15" t="n">
        <v>833</v>
      </c>
      <c r="M94" s="15" t="n">
        <v>7</v>
      </c>
    </row>
    <row r="95" customFormat="false" ht="15" hidden="false" customHeight="false" outlineLevel="0" collapsed="false">
      <c r="A95" s="12" t="s">
        <v>38</v>
      </c>
      <c r="B95" s="7" t="s">
        <v>39</v>
      </c>
      <c r="C95" s="12" t="s">
        <v>59</v>
      </c>
      <c r="D95" s="7" t="s">
        <v>31</v>
      </c>
      <c r="E95" s="7" t="s">
        <v>31</v>
      </c>
      <c r="F95" s="12" t="n">
        <f aca="false">IF(D95=E95,1,0)</f>
        <v>1</v>
      </c>
      <c r="G95" s="13" t="n">
        <v>0.17864476386037</v>
      </c>
      <c r="H95" s="14" t="n">
        <v>0.277588283440919</v>
      </c>
      <c r="I95" s="14" t="n">
        <v>0.267754552422683</v>
      </c>
      <c r="J95" s="14" t="n">
        <v>0.454657164136398</v>
      </c>
      <c r="K95" s="12" t="s">
        <v>33</v>
      </c>
      <c r="L95" s="15" t="n">
        <v>833</v>
      </c>
      <c r="M95" s="15" t="n">
        <v>7</v>
      </c>
    </row>
    <row r="96" customFormat="false" ht="15" hidden="false" customHeight="false" outlineLevel="0" collapsed="false">
      <c r="A96" s="12" t="s">
        <v>41</v>
      </c>
      <c r="B96" s="7" t="s">
        <v>42</v>
      </c>
      <c r="C96" s="12" t="s">
        <v>59</v>
      </c>
      <c r="D96" s="7" t="s">
        <v>31</v>
      </c>
      <c r="E96" s="7" t="s">
        <v>31</v>
      </c>
      <c r="F96" s="12" t="n">
        <f aca="false">IF(D96=E96,1,0)</f>
        <v>1</v>
      </c>
      <c r="G96" s="13" t="n">
        <v>0.022332506203474</v>
      </c>
      <c r="H96" s="14" t="n">
        <v>0.273880038735077</v>
      </c>
      <c r="I96" s="14" t="n">
        <v>0.28338547205231</v>
      </c>
      <c r="J96" s="14" t="n">
        <v>0.442734489212613</v>
      </c>
      <c r="K96" s="12" t="s">
        <v>33</v>
      </c>
      <c r="L96" s="15" t="n">
        <v>833</v>
      </c>
      <c r="M96" s="15" t="n">
        <v>7</v>
      </c>
    </row>
    <row r="97" customFormat="false" ht="15" hidden="false" customHeight="false" outlineLevel="0" collapsed="false">
      <c r="A97" s="12" t="s">
        <v>43</v>
      </c>
      <c r="B97" s="7" t="s">
        <v>44</v>
      </c>
      <c r="C97" s="12" t="s">
        <v>59</v>
      </c>
      <c r="D97" s="7" t="s">
        <v>31</v>
      </c>
      <c r="E97" s="7" t="s">
        <v>31</v>
      </c>
      <c r="F97" s="12" t="n">
        <f aca="false">IF(D97=E97,1,0)</f>
        <v>1</v>
      </c>
      <c r="G97" s="13" t="n">
        <v>0.0173564753004005</v>
      </c>
      <c r="H97" s="14" t="n">
        <v>0.265888955718997</v>
      </c>
      <c r="I97" s="14" t="n">
        <v>0.338808696847957</v>
      </c>
      <c r="J97" s="14" t="n">
        <v>0.395302347433046</v>
      </c>
      <c r="K97" s="12" t="s">
        <v>33</v>
      </c>
      <c r="L97" s="15" t="n">
        <v>833</v>
      </c>
      <c r="M97" s="15" t="n">
        <v>7</v>
      </c>
    </row>
    <row r="98" customFormat="false" ht="15" hidden="false" customHeight="false" outlineLevel="0" collapsed="false">
      <c r="A98" s="12" t="s">
        <v>28</v>
      </c>
      <c r="B98" s="7" t="s">
        <v>29</v>
      </c>
      <c r="C98" s="12" t="s">
        <v>60</v>
      </c>
      <c r="D98" s="7" t="s">
        <v>31</v>
      </c>
      <c r="E98" s="7" t="s">
        <v>31</v>
      </c>
      <c r="F98" s="12" t="n">
        <f aca="false">IF(D98=E98,1,0)</f>
        <v>1</v>
      </c>
      <c r="G98" s="13" t="n">
        <v>0.0717821782178218</v>
      </c>
      <c r="H98" s="14" t="n">
        <v>0.296922106383722</v>
      </c>
      <c r="I98" s="14" t="n">
        <v>0.239193277578263</v>
      </c>
      <c r="J98" s="14" t="n">
        <v>0.463884616038015</v>
      </c>
      <c r="K98" s="12" t="s">
        <v>33</v>
      </c>
      <c r="L98" s="15" t="n">
        <v>833</v>
      </c>
      <c r="M98" s="15" t="n">
        <v>7</v>
      </c>
    </row>
    <row r="99" customFormat="false" ht="15" hidden="false" customHeight="false" outlineLevel="0" collapsed="false">
      <c r="A99" s="12" t="s">
        <v>34</v>
      </c>
      <c r="B99" s="7" t="s">
        <v>35</v>
      </c>
      <c r="C99" s="12" t="s">
        <v>60</v>
      </c>
      <c r="D99" s="7" t="s">
        <v>31</v>
      </c>
      <c r="E99" s="7" t="s">
        <v>31</v>
      </c>
      <c r="F99" s="12" t="n">
        <f aca="false">IF(D99=E99,1,0)</f>
        <v>1</v>
      </c>
      <c r="G99" s="13" t="n">
        <v>0.0504385964912281</v>
      </c>
      <c r="H99" s="14" t="n">
        <v>0.277713440428027</v>
      </c>
      <c r="I99" s="14" t="n">
        <v>0.262051239006529</v>
      </c>
      <c r="J99" s="14" t="n">
        <v>0.460235320565443</v>
      </c>
      <c r="K99" s="12" t="s">
        <v>33</v>
      </c>
      <c r="L99" s="15" t="n">
        <v>833</v>
      </c>
      <c r="M99" s="15" t="n">
        <v>7</v>
      </c>
    </row>
    <row r="100" customFormat="false" ht="15" hidden="false" customHeight="false" outlineLevel="0" collapsed="false">
      <c r="A100" s="12" t="s">
        <v>36</v>
      </c>
      <c r="B100" s="7" t="s">
        <v>37</v>
      </c>
      <c r="C100" s="12" t="s">
        <v>60</v>
      </c>
      <c r="D100" s="7" t="s">
        <v>31</v>
      </c>
      <c r="E100" s="7" t="s">
        <v>40</v>
      </c>
      <c r="F100" s="12" t="n">
        <f aca="false">IF(D100=E100,1,0)</f>
        <v>0</v>
      </c>
      <c r="G100" s="13" t="n">
        <v>-0.0066225165562914</v>
      </c>
      <c r="H100" s="14" t="n">
        <v>0.320320086775929</v>
      </c>
      <c r="I100" s="14" t="n">
        <v>0.273450184861452</v>
      </c>
      <c r="J100" s="14" t="n">
        <v>0.406229728362619</v>
      </c>
      <c r="K100" s="12" t="s">
        <v>33</v>
      </c>
      <c r="L100" s="15" t="n">
        <v>833</v>
      </c>
      <c r="M100" s="15" t="n">
        <v>7</v>
      </c>
    </row>
    <row r="101" customFormat="false" ht="15" hidden="false" customHeight="false" outlineLevel="0" collapsed="false">
      <c r="A101" s="12" t="s">
        <v>38</v>
      </c>
      <c r="B101" s="7" t="s">
        <v>39</v>
      </c>
      <c r="C101" s="12" t="s">
        <v>60</v>
      </c>
      <c r="D101" s="7" t="s">
        <v>31</v>
      </c>
      <c r="E101" s="7" t="s">
        <v>31</v>
      </c>
      <c r="F101" s="12" t="n">
        <f aca="false">IF(D101=E101,1,0)</f>
        <v>1</v>
      </c>
      <c r="G101" s="13" t="n">
        <v>0.295687885010267</v>
      </c>
      <c r="H101" s="14" t="n">
        <v>0.274821025163506</v>
      </c>
      <c r="I101" s="14" t="n">
        <v>0.246528436434534</v>
      </c>
      <c r="J101" s="14" t="n">
        <v>0.47865053840196</v>
      </c>
      <c r="K101" s="12" t="s">
        <v>33</v>
      </c>
      <c r="L101" s="15" t="n">
        <v>833</v>
      </c>
      <c r="M101" s="15" t="n">
        <v>7</v>
      </c>
    </row>
    <row r="102" customFormat="false" ht="15" hidden="false" customHeight="false" outlineLevel="0" collapsed="false">
      <c r="A102" s="12" t="s">
        <v>41</v>
      </c>
      <c r="B102" s="7" t="s">
        <v>42</v>
      </c>
      <c r="C102" s="12" t="s">
        <v>60</v>
      </c>
      <c r="D102" s="7" t="s">
        <v>31</v>
      </c>
      <c r="E102" s="7" t="s">
        <v>31</v>
      </c>
      <c r="F102" s="12" t="n">
        <f aca="false">IF(D102=E102,1,0)</f>
        <v>1</v>
      </c>
      <c r="G102" s="13" t="n">
        <v>0.0426065162907267</v>
      </c>
      <c r="H102" s="14" t="n">
        <v>0.253578343085001</v>
      </c>
      <c r="I102" s="14" t="n">
        <v>0.295113174903024</v>
      </c>
      <c r="J102" s="14" t="n">
        <v>0.451308482011975</v>
      </c>
      <c r="K102" s="12" t="s">
        <v>33</v>
      </c>
      <c r="L102" s="15" t="n">
        <v>833</v>
      </c>
      <c r="M102" s="15" t="n">
        <v>7</v>
      </c>
    </row>
    <row r="103" customFormat="false" ht="15" hidden="false" customHeight="false" outlineLevel="0" collapsed="false">
      <c r="A103" s="12" t="s">
        <v>43</v>
      </c>
      <c r="B103" s="7" t="s">
        <v>44</v>
      </c>
      <c r="C103" s="12" t="s">
        <v>60</v>
      </c>
      <c r="D103" s="7" t="s">
        <v>31</v>
      </c>
      <c r="E103" s="7" t="s">
        <v>31</v>
      </c>
      <c r="F103" s="12" t="n">
        <f aca="false">IF(D103=E103,1,0)</f>
        <v>1</v>
      </c>
      <c r="G103" s="13" t="n">
        <v>0.036241610738255</v>
      </c>
      <c r="H103" s="14" t="n">
        <v>0.264707446966118</v>
      </c>
      <c r="I103" s="14" t="n">
        <v>0.350387855479136</v>
      </c>
      <c r="J103" s="14" t="n">
        <v>0.384904697554746</v>
      </c>
      <c r="K103" s="12" t="s">
        <v>33</v>
      </c>
      <c r="L103" s="15" t="n">
        <v>833</v>
      </c>
      <c r="M103" s="15" t="n">
        <v>7</v>
      </c>
    </row>
    <row r="104" customFormat="false" ht="15" hidden="false" customHeight="false" outlineLevel="0" collapsed="false">
      <c r="A104" s="12" t="s">
        <v>28</v>
      </c>
      <c r="B104" s="7" t="s">
        <v>29</v>
      </c>
      <c r="C104" s="12" t="s">
        <v>61</v>
      </c>
      <c r="D104" s="7" t="s">
        <v>31</v>
      </c>
      <c r="E104" s="7" t="s">
        <v>31</v>
      </c>
      <c r="F104" s="12" t="n">
        <f aca="false">IF(D104=E104,1,0)</f>
        <v>1</v>
      </c>
      <c r="G104" s="13" t="n">
        <v>0.04</v>
      </c>
      <c r="H104" s="14" t="n">
        <v>0.305924997754443</v>
      </c>
      <c r="I104" s="14" t="n">
        <v>0.241713548816051</v>
      </c>
      <c r="J104" s="14" t="n">
        <v>0.452361453429505</v>
      </c>
      <c r="K104" s="12" t="s">
        <v>33</v>
      </c>
      <c r="L104" s="15" t="n">
        <v>833</v>
      </c>
      <c r="M104" s="15" t="n">
        <v>7</v>
      </c>
    </row>
    <row r="105" customFormat="false" ht="15" hidden="false" customHeight="false" outlineLevel="0" collapsed="false">
      <c r="A105" s="12" t="s">
        <v>34</v>
      </c>
      <c r="B105" s="7" t="s">
        <v>35</v>
      </c>
      <c r="C105" s="12" t="s">
        <v>61</v>
      </c>
      <c r="D105" s="7" t="s">
        <v>31</v>
      </c>
      <c r="E105" s="7" t="s">
        <v>31</v>
      </c>
      <c r="F105" s="12" t="n">
        <f aca="false">IF(D105=E105,1,0)</f>
        <v>1</v>
      </c>
      <c r="G105" s="13" t="n">
        <v>0.117516629711752</v>
      </c>
      <c r="H105" s="14" t="n">
        <v>0.292211371842141</v>
      </c>
      <c r="I105" s="14" t="n">
        <v>0.227178911157346</v>
      </c>
      <c r="J105" s="14" t="n">
        <v>0.480609717000513</v>
      </c>
      <c r="K105" s="12" t="s">
        <v>33</v>
      </c>
      <c r="L105" s="15" t="n">
        <v>833</v>
      </c>
      <c r="M105" s="15" t="n">
        <v>7</v>
      </c>
    </row>
    <row r="106" customFormat="false" ht="15" hidden="false" customHeight="false" outlineLevel="0" collapsed="false">
      <c r="A106" s="12" t="s">
        <v>36</v>
      </c>
      <c r="B106" s="7" t="s">
        <v>37</v>
      </c>
      <c r="C106" s="12" t="s">
        <v>61</v>
      </c>
      <c r="D106" s="7" t="s">
        <v>31</v>
      </c>
      <c r="E106" s="7" t="s">
        <v>31</v>
      </c>
      <c r="F106" s="12" t="n">
        <f aca="false">IF(D106=E106,1,0)</f>
        <v>1</v>
      </c>
      <c r="G106" s="13" t="n">
        <v>0.0158013544018058</v>
      </c>
      <c r="H106" s="14" t="n">
        <v>0.337045333366461</v>
      </c>
      <c r="I106" s="14" t="n">
        <v>0.238114892435721</v>
      </c>
      <c r="J106" s="14" t="n">
        <v>0.424839774197818</v>
      </c>
      <c r="K106" s="12" t="s">
        <v>33</v>
      </c>
      <c r="L106" s="15" t="n">
        <v>833</v>
      </c>
      <c r="M106" s="15" t="n">
        <v>7</v>
      </c>
    </row>
    <row r="107" customFormat="false" ht="15" hidden="false" customHeight="false" outlineLevel="0" collapsed="false">
      <c r="A107" s="12" t="s">
        <v>38</v>
      </c>
      <c r="B107" s="7" t="s">
        <v>39</v>
      </c>
      <c r="C107" s="12" t="s">
        <v>61</v>
      </c>
      <c r="D107" s="7" t="s">
        <v>31</v>
      </c>
      <c r="E107" s="7" t="s">
        <v>31</v>
      </c>
      <c r="F107" s="12" t="n">
        <f aca="false">IF(D107=E107,1,0)</f>
        <v>1</v>
      </c>
      <c r="G107" s="13" t="n">
        <v>0.311663479923518</v>
      </c>
      <c r="H107" s="14" t="n">
        <v>0.282552920486822</v>
      </c>
      <c r="I107" s="14" t="n">
        <v>0.254658420155596</v>
      </c>
      <c r="J107" s="14" t="n">
        <v>0.462788659357582</v>
      </c>
      <c r="K107" s="12" t="s">
        <v>33</v>
      </c>
      <c r="L107" s="15" t="n">
        <v>833</v>
      </c>
      <c r="M107" s="15" t="n">
        <v>7</v>
      </c>
    </row>
    <row r="108" customFormat="false" ht="15" hidden="false" customHeight="false" outlineLevel="0" collapsed="false">
      <c r="A108" s="12" t="s">
        <v>41</v>
      </c>
      <c r="B108" s="7" t="s">
        <v>42</v>
      </c>
      <c r="C108" s="12" t="s">
        <v>61</v>
      </c>
      <c r="D108" s="7" t="s">
        <v>31</v>
      </c>
      <c r="E108" s="7" t="s">
        <v>31</v>
      </c>
      <c r="F108" s="12" t="n">
        <f aca="false">IF(D108=E108,1,0)</f>
        <v>1</v>
      </c>
      <c r="G108" s="13" t="n">
        <v>0.06</v>
      </c>
      <c r="H108" s="14" t="n">
        <v>0.277906206468108</v>
      </c>
      <c r="I108" s="14" t="n">
        <v>0.27100511227635</v>
      </c>
      <c r="J108" s="14" t="n">
        <v>0.451088681255542</v>
      </c>
      <c r="K108" s="12" t="s">
        <v>33</v>
      </c>
      <c r="L108" s="15" t="n">
        <v>833</v>
      </c>
      <c r="M108" s="15" t="n">
        <v>7</v>
      </c>
    </row>
    <row r="109" customFormat="false" ht="15" hidden="false" customHeight="false" outlineLevel="0" collapsed="false">
      <c r="A109" s="12" t="s">
        <v>43</v>
      </c>
      <c r="B109" s="7" t="s">
        <v>44</v>
      </c>
      <c r="C109" s="12" t="s">
        <v>61</v>
      </c>
      <c r="D109" s="7" t="s">
        <v>31</v>
      </c>
      <c r="E109" s="7" t="s">
        <v>31</v>
      </c>
      <c r="F109" s="12" t="n">
        <f aca="false">IF(D109=E109,1,0)</f>
        <v>1</v>
      </c>
      <c r="G109" s="13" t="n">
        <v>0.0535475234270415</v>
      </c>
      <c r="H109" s="14" t="n">
        <v>0.272796010716098</v>
      </c>
      <c r="I109" s="14" t="n">
        <v>0.287245717490603</v>
      </c>
      <c r="J109" s="14" t="n">
        <v>0.4399582717933</v>
      </c>
      <c r="K109" s="12" t="s">
        <v>33</v>
      </c>
      <c r="L109" s="15" t="n">
        <v>833</v>
      </c>
      <c r="M109" s="15" t="n">
        <v>7</v>
      </c>
    </row>
    <row r="110" customFormat="false" ht="15" hidden="false" customHeight="false" outlineLevel="0" collapsed="false">
      <c r="A110" s="12" t="s">
        <v>28</v>
      </c>
      <c r="B110" s="7" t="s">
        <v>29</v>
      </c>
      <c r="C110" s="12" t="s">
        <v>62</v>
      </c>
      <c r="D110" s="7" t="s">
        <v>31</v>
      </c>
      <c r="E110" s="7" t="s">
        <v>31</v>
      </c>
      <c r="F110" s="12" t="n">
        <f aca="false">IF(D110=E110,1,0)</f>
        <v>1</v>
      </c>
      <c r="G110" s="13" t="n">
        <v>0.0531177829099307</v>
      </c>
      <c r="H110" s="14" t="n">
        <v>0.281495887721668</v>
      </c>
      <c r="I110" s="14" t="n">
        <v>0.281539243085005</v>
      </c>
      <c r="J110" s="14" t="n">
        <v>0.436964869193328</v>
      </c>
      <c r="K110" s="12" t="s">
        <v>33</v>
      </c>
      <c r="L110" s="15" t="n">
        <v>833</v>
      </c>
      <c r="M110" s="15" t="n">
        <v>7</v>
      </c>
    </row>
    <row r="111" customFormat="false" ht="15" hidden="false" customHeight="false" outlineLevel="0" collapsed="false">
      <c r="A111" s="12" t="s">
        <v>34</v>
      </c>
      <c r="B111" s="7" t="s">
        <v>35</v>
      </c>
      <c r="C111" s="12" t="s">
        <v>62</v>
      </c>
      <c r="D111" s="7" t="s">
        <v>31</v>
      </c>
      <c r="E111" s="7" t="s">
        <v>31</v>
      </c>
      <c r="F111" s="12" t="n">
        <f aca="false">IF(D111=E111,1,0)</f>
        <v>1</v>
      </c>
      <c r="G111" s="13" t="n">
        <v>0.126666666666667</v>
      </c>
      <c r="H111" s="14" t="n">
        <v>0.278690545344696</v>
      </c>
      <c r="I111" s="14" t="n">
        <v>0.243537512756342</v>
      </c>
      <c r="J111" s="14" t="n">
        <v>0.477771941898962</v>
      </c>
      <c r="K111" s="12" t="s">
        <v>33</v>
      </c>
      <c r="L111" s="15" t="n">
        <v>833</v>
      </c>
      <c r="M111" s="15" t="n">
        <v>7</v>
      </c>
    </row>
    <row r="112" customFormat="false" ht="15" hidden="false" customHeight="false" outlineLevel="0" collapsed="false">
      <c r="A112" s="12" t="s">
        <v>36</v>
      </c>
      <c r="B112" s="7" t="s">
        <v>37</v>
      </c>
      <c r="C112" s="12" t="s">
        <v>62</v>
      </c>
      <c r="D112" s="7" t="s">
        <v>31</v>
      </c>
      <c r="E112" s="7" t="s">
        <v>31</v>
      </c>
      <c r="F112" s="12" t="n">
        <f aca="false">IF(D112=E112,1,0)</f>
        <v>1</v>
      </c>
      <c r="G112" s="13" t="n">
        <v>0.0596330275229357</v>
      </c>
      <c r="H112" s="14" t="n">
        <v>0.279925959816978</v>
      </c>
      <c r="I112" s="14" t="n">
        <v>0.240189094930194</v>
      </c>
      <c r="J112" s="14" t="n">
        <v>0.479884945252828</v>
      </c>
      <c r="K112" s="12" t="s">
        <v>33</v>
      </c>
      <c r="L112" s="15" t="n">
        <v>833</v>
      </c>
      <c r="M112" s="15" t="n">
        <v>7</v>
      </c>
    </row>
    <row r="113" customFormat="false" ht="15" hidden="false" customHeight="false" outlineLevel="0" collapsed="false">
      <c r="A113" s="12" t="s">
        <v>38</v>
      </c>
      <c r="B113" s="7" t="s">
        <v>39</v>
      </c>
      <c r="C113" s="12" t="s">
        <v>62</v>
      </c>
      <c r="D113" s="7" t="s">
        <v>31</v>
      </c>
      <c r="E113" s="7" t="s">
        <v>31</v>
      </c>
      <c r="F113" s="12" t="n">
        <f aca="false">IF(D113=E113,1,0)</f>
        <v>1</v>
      </c>
      <c r="G113" s="13" t="n">
        <v>0.328155339805825</v>
      </c>
      <c r="H113" s="14" t="n">
        <v>0.283724265464967</v>
      </c>
      <c r="I113" s="14" t="n">
        <v>0.265269935667972</v>
      </c>
      <c r="J113" s="14" t="n">
        <v>0.451005798867061</v>
      </c>
      <c r="K113" s="12" t="s">
        <v>33</v>
      </c>
      <c r="L113" s="15" t="n">
        <v>833</v>
      </c>
      <c r="M113" s="15" t="n">
        <v>7</v>
      </c>
    </row>
    <row r="114" customFormat="false" ht="15" hidden="false" customHeight="false" outlineLevel="0" collapsed="false">
      <c r="A114" s="12" t="s">
        <v>41</v>
      </c>
      <c r="B114" s="7" t="s">
        <v>42</v>
      </c>
      <c r="C114" s="12" t="s">
        <v>62</v>
      </c>
      <c r="D114" s="7" t="s">
        <v>31</v>
      </c>
      <c r="E114" s="7" t="s">
        <v>31</v>
      </c>
      <c r="F114" s="12" t="n">
        <f aca="false">IF(D114=E114,1,0)</f>
        <v>1</v>
      </c>
      <c r="G114" s="13" t="n">
        <v>0.0595533498759304</v>
      </c>
      <c r="H114" s="14" t="n">
        <v>0.293905694415187</v>
      </c>
      <c r="I114" s="14" t="n">
        <v>0.265000431075236</v>
      </c>
      <c r="J114" s="14" t="n">
        <v>0.441093874509577</v>
      </c>
      <c r="K114" s="12" t="s">
        <v>33</v>
      </c>
      <c r="L114" s="15" t="n">
        <v>833</v>
      </c>
      <c r="M114" s="15" t="n">
        <v>7</v>
      </c>
    </row>
    <row r="115" customFormat="false" ht="15" hidden="false" customHeight="false" outlineLevel="0" collapsed="false">
      <c r="A115" s="12" t="s">
        <v>43</v>
      </c>
      <c r="B115" s="7" t="s">
        <v>44</v>
      </c>
      <c r="C115" s="12" t="s">
        <v>62</v>
      </c>
      <c r="D115" s="7" t="s">
        <v>31</v>
      </c>
      <c r="E115" s="7" t="s">
        <v>40</v>
      </c>
      <c r="F115" s="12" t="n">
        <f aca="false">IF(D115=E115,1,0)</f>
        <v>0</v>
      </c>
      <c r="G115" s="13" t="n">
        <v>0.0050890585241731</v>
      </c>
      <c r="H115" s="14" t="n">
        <v>0.311768759887199</v>
      </c>
      <c r="I115" s="14" t="n">
        <v>0.24563876735694</v>
      </c>
      <c r="J115" s="14" t="n">
        <v>0.442592472755861</v>
      </c>
      <c r="K115" s="12" t="s">
        <v>33</v>
      </c>
      <c r="L115" s="15" t="n">
        <v>833</v>
      </c>
      <c r="M115" s="15" t="n">
        <v>7</v>
      </c>
    </row>
    <row r="116" customFormat="false" ht="15" hidden="false" customHeight="false" outlineLevel="0" collapsed="false">
      <c r="A116" s="12" t="s">
        <v>28</v>
      </c>
      <c r="B116" s="7" t="s">
        <v>29</v>
      </c>
      <c r="C116" s="12" t="s">
        <v>63</v>
      </c>
      <c r="D116" s="7" t="s">
        <v>31</v>
      </c>
      <c r="E116" s="7" t="s">
        <v>31</v>
      </c>
      <c r="F116" s="12" t="n">
        <f aca="false">IF(D116=E116,1,0)</f>
        <v>1</v>
      </c>
      <c r="G116" s="13" t="n">
        <v>0.0161662817551964</v>
      </c>
      <c r="H116" s="14" t="n">
        <v>0.274821025163506</v>
      </c>
      <c r="I116" s="14" t="n">
        <v>0.246528436434534</v>
      </c>
      <c r="J116" s="14" t="n">
        <v>0.47865053840196</v>
      </c>
      <c r="K116" s="12" t="s">
        <v>33</v>
      </c>
      <c r="L116" s="15" t="n">
        <v>833</v>
      </c>
      <c r="M116" s="15" t="n">
        <v>7</v>
      </c>
    </row>
    <row r="117" customFormat="false" ht="15" hidden="false" customHeight="false" outlineLevel="0" collapsed="false">
      <c r="A117" s="12" t="s">
        <v>34</v>
      </c>
      <c r="B117" s="7" t="s">
        <v>35</v>
      </c>
      <c r="C117" s="12" t="s">
        <v>63</v>
      </c>
      <c r="D117" s="7" t="s">
        <v>31</v>
      </c>
      <c r="E117" s="7" t="s">
        <v>31</v>
      </c>
      <c r="F117" s="12" t="n">
        <f aca="false">IF(D117=E117,1,0)</f>
        <v>1</v>
      </c>
      <c r="G117" s="13" t="n">
        <v>0.138952164009112</v>
      </c>
      <c r="H117" s="14" t="n">
        <v>0.287229277059677</v>
      </c>
      <c r="I117" s="14" t="n">
        <v>0.228824156364649</v>
      </c>
      <c r="J117" s="14" t="n">
        <v>0.483946566575674</v>
      </c>
      <c r="K117" s="12" t="s">
        <v>33</v>
      </c>
      <c r="L117" s="15" t="n">
        <v>833</v>
      </c>
      <c r="M117" s="15" t="n">
        <v>7</v>
      </c>
    </row>
    <row r="118" customFormat="false" ht="15" hidden="false" customHeight="false" outlineLevel="0" collapsed="false">
      <c r="A118" s="12" t="s">
        <v>36</v>
      </c>
      <c r="B118" s="7" t="s">
        <v>37</v>
      </c>
      <c r="C118" s="12" t="s">
        <v>63</v>
      </c>
      <c r="D118" s="7" t="s">
        <v>31</v>
      </c>
      <c r="E118" s="7" t="s">
        <v>31</v>
      </c>
      <c r="F118" s="12" t="n">
        <f aca="false">IF(D118=E118,1,0)</f>
        <v>1</v>
      </c>
      <c r="G118" s="13" t="n">
        <v>0.0725995316159251</v>
      </c>
      <c r="H118" s="14" t="n">
        <v>0.275056337672184</v>
      </c>
      <c r="I118" s="14" t="n">
        <v>0.241769200699729</v>
      </c>
      <c r="J118" s="14" t="n">
        <v>0.483174461628087</v>
      </c>
      <c r="K118" s="12" t="s">
        <v>33</v>
      </c>
      <c r="L118" s="15" t="n">
        <v>833</v>
      </c>
      <c r="M118" s="15" t="n">
        <v>7</v>
      </c>
    </row>
    <row r="119" customFormat="false" ht="15" hidden="false" customHeight="false" outlineLevel="0" collapsed="false">
      <c r="A119" s="12" t="s">
        <v>38</v>
      </c>
      <c r="B119" s="7" t="s">
        <v>39</v>
      </c>
      <c r="C119" s="12" t="s">
        <v>63</v>
      </c>
      <c r="D119" s="7" t="s">
        <v>31</v>
      </c>
      <c r="E119" s="7" t="s">
        <v>31</v>
      </c>
      <c r="F119" s="12" t="n">
        <f aca="false">IF(D119=E119,1,0)</f>
        <v>1</v>
      </c>
      <c r="G119" s="13" t="n">
        <v>0.390804597701149</v>
      </c>
      <c r="H119" s="14" t="n">
        <v>0.272361027018307</v>
      </c>
      <c r="I119" s="14" t="n">
        <v>0.25327296643448</v>
      </c>
      <c r="J119" s="14" t="n">
        <v>0.474366006547213</v>
      </c>
      <c r="K119" s="12" t="s">
        <v>33</v>
      </c>
      <c r="L119" s="15" t="n">
        <v>833</v>
      </c>
      <c r="M119" s="15" t="n">
        <v>7</v>
      </c>
    </row>
    <row r="120" customFormat="false" ht="15" hidden="false" customHeight="false" outlineLevel="0" collapsed="false">
      <c r="A120" s="12" t="s">
        <v>41</v>
      </c>
      <c r="B120" s="7" t="s">
        <v>42</v>
      </c>
      <c r="C120" s="12" t="s">
        <v>63</v>
      </c>
      <c r="D120" s="7" t="s">
        <v>31</v>
      </c>
      <c r="E120" s="7" t="s">
        <v>31</v>
      </c>
      <c r="F120" s="12" t="n">
        <f aca="false">IF(D120=E120,1,0)</f>
        <v>1</v>
      </c>
      <c r="G120" s="13" t="n">
        <v>0.047029702970297</v>
      </c>
      <c r="H120" s="14" t="n">
        <v>0.284863421331646</v>
      </c>
      <c r="I120" s="14" t="n">
        <v>0.291767829972095</v>
      </c>
      <c r="J120" s="14" t="n">
        <v>0.423368748696259</v>
      </c>
      <c r="K120" s="12" t="s">
        <v>33</v>
      </c>
      <c r="L120" s="15" t="n">
        <v>833</v>
      </c>
      <c r="M120" s="15" t="n">
        <v>7</v>
      </c>
    </row>
    <row r="121" customFormat="false" ht="15" hidden="false" customHeight="false" outlineLevel="0" collapsed="false">
      <c r="A121" s="12" t="s">
        <v>43</v>
      </c>
      <c r="B121" s="7" t="s">
        <v>44</v>
      </c>
      <c r="C121" s="12" t="s">
        <v>63</v>
      </c>
      <c r="D121" s="7" t="s">
        <v>31</v>
      </c>
      <c r="E121" s="7" t="s">
        <v>31</v>
      </c>
      <c r="F121" s="12" t="n">
        <f aca="false">IF(D121=E121,1,0)</f>
        <v>1</v>
      </c>
      <c r="G121" s="13" t="n">
        <v>0.0362694300518133</v>
      </c>
      <c r="H121" s="14" t="n">
        <v>0.310448686380392</v>
      </c>
      <c r="I121" s="14" t="n">
        <v>0.241471361364387</v>
      </c>
      <c r="J121" s="14" t="n">
        <v>0.44807995225522</v>
      </c>
      <c r="K121" s="12" t="s">
        <v>33</v>
      </c>
      <c r="L121" s="15" t="n">
        <v>833</v>
      </c>
      <c r="M121" s="15" t="n">
        <v>7</v>
      </c>
    </row>
    <row r="122" customFormat="false" ht="15" hidden="false" customHeight="false" outlineLevel="0" collapsed="false">
      <c r="A122" s="12" t="s">
        <v>28</v>
      </c>
      <c r="B122" s="7" t="s">
        <v>29</v>
      </c>
      <c r="C122" s="12" t="s">
        <v>64</v>
      </c>
      <c r="D122" s="7" t="s">
        <v>31</v>
      </c>
      <c r="E122" s="7" t="s">
        <v>40</v>
      </c>
      <c r="F122" s="12" t="n">
        <f aca="false">IF(D122=E122,1,0)</f>
        <v>0</v>
      </c>
      <c r="G122" s="13" t="n">
        <v>0.0112612612612612</v>
      </c>
      <c r="H122" s="14" t="n">
        <v>0.305213397398321</v>
      </c>
      <c r="I122" s="14" t="n">
        <v>0.228963009246256</v>
      </c>
      <c r="J122" s="14" t="n">
        <v>0.465823593355424</v>
      </c>
      <c r="K122" s="12" t="s">
        <v>65</v>
      </c>
      <c r="L122" s="15" t="n">
        <v>953</v>
      </c>
      <c r="M122" s="15" t="n">
        <v>4</v>
      </c>
    </row>
    <row r="123" customFormat="false" ht="15" hidden="false" customHeight="false" outlineLevel="0" collapsed="false">
      <c r="A123" s="12" t="s">
        <v>34</v>
      </c>
      <c r="B123" s="7" t="s">
        <v>35</v>
      </c>
      <c r="C123" s="12" t="s">
        <v>64</v>
      </c>
      <c r="D123" s="7" t="s">
        <v>31</v>
      </c>
      <c r="E123" s="7" t="s">
        <v>31</v>
      </c>
      <c r="F123" s="12" t="n">
        <f aca="false">IF(D123=E123,1,0)</f>
        <v>1</v>
      </c>
      <c r="G123" s="13" t="n">
        <v>0.107692307692308</v>
      </c>
      <c r="H123" s="14" t="n">
        <v>0.334681364076886</v>
      </c>
      <c r="I123" s="14" t="n">
        <v>0.226473131534418</v>
      </c>
      <c r="J123" s="14" t="n">
        <v>0.438845504388696</v>
      </c>
      <c r="K123" s="12" t="s">
        <v>65</v>
      </c>
      <c r="L123" s="15" t="n">
        <v>953</v>
      </c>
      <c r="M123" s="15" t="n">
        <v>4</v>
      </c>
    </row>
    <row r="124" customFormat="false" ht="15" hidden="false" customHeight="false" outlineLevel="0" collapsed="false">
      <c r="A124" s="12" t="s">
        <v>36</v>
      </c>
      <c r="B124" s="7" t="s">
        <v>37</v>
      </c>
      <c r="C124" s="12" t="s">
        <v>64</v>
      </c>
      <c r="D124" s="7" t="s">
        <v>31</v>
      </c>
      <c r="E124" s="7" t="s">
        <v>32</v>
      </c>
      <c r="F124" s="12" t="n">
        <f aca="false">IF(D124=E124,1,0)</f>
        <v>0</v>
      </c>
      <c r="G124" s="13" t="n">
        <v>-0.0175824175824176</v>
      </c>
      <c r="H124" s="14" t="n">
        <v>0.335042074023537</v>
      </c>
      <c r="I124" s="14" t="n">
        <v>0.224868838563824</v>
      </c>
      <c r="J124" s="14" t="n">
        <v>0.440089087412639</v>
      </c>
      <c r="K124" s="12" t="s">
        <v>65</v>
      </c>
      <c r="L124" s="15" t="n">
        <v>953</v>
      </c>
      <c r="M124" s="15" t="n">
        <v>4</v>
      </c>
    </row>
    <row r="125" customFormat="false" ht="15" hidden="false" customHeight="false" outlineLevel="0" collapsed="false">
      <c r="A125" s="12" t="s">
        <v>41</v>
      </c>
      <c r="B125" s="7" t="s">
        <v>42</v>
      </c>
      <c r="C125" s="12" t="s">
        <v>64</v>
      </c>
      <c r="D125" s="7" t="s">
        <v>31</v>
      </c>
      <c r="E125" s="7" t="s">
        <v>31</v>
      </c>
      <c r="F125" s="12" t="n">
        <f aca="false">IF(D125=E125,1,0)</f>
        <v>1</v>
      </c>
      <c r="G125" s="13" t="n">
        <v>0.0388349514563106</v>
      </c>
      <c r="H125" s="14" t="n">
        <v>0.305263610925325</v>
      </c>
      <c r="I125" s="14" t="n">
        <v>0.259898965520576</v>
      </c>
      <c r="J125" s="14" t="n">
        <v>0.434837423554099</v>
      </c>
      <c r="K125" s="12" t="s">
        <v>65</v>
      </c>
      <c r="L125" s="15" t="n">
        <v>953</v>
      </c>
      <c r="M125" s="15" t="n">
        <v>4</v>
      </c>
    </row>
    <row r="126" customFormat="false" ht="15" hidden="false" customHeight="false" outlineLevel="0" collapsed="false">
      <c r="A126" s="12" t="s">
        <v>43</v>
      </c>
      <c r="B126" s="7" t="s">
        <v>44</v>
      </c>
      <c r="C126" s="12" t="s">
        <v>64</v>
      </c>
      <c r="D126" s="7" t="s">
        <v>31</v>
      </c>
      <c r="E126" s="7" t="s">
        <v>31</v>
      </c>
      <c r="F126" s="12" t="n">
        <f aca="false">IF(D126=E126,1,0)</f>
        <v>1</v>
      </c>
      <c r="G126" s="13" t="n">
        <v>0.0288713910761155</v>
      </c>
      <c r="H126" s="14" t="n">
        <v>0.30367295528079</v>
      </c>
      <c r="I126" s="14" t="n">
        <v>0.251761970756159</v>
      </c>
      <c r="J126" s="14" t="n">
        <v>0.444565073963051</v>
      </c>
      <c r="K126" s="12" t="s">
        <v>65</v>
      </c>
      <c r="L126" s="15" t="n">
        <v>953</v>
      </c>
      <c r="M126" s="15" t="n">
        <v>4</v>
      </c>
    </row>
    <row r="127" customFormat="false" ht="15" hidden="false" customHeight="false" outlineLevel="0" collapsed="false">
      <c r="A127" s="12" t="s">
        <v>28</v>
      </c>
      <c r="B127" s="7" t="s">
        <v>29</v>
      </c>
      <c r="C127" s="12" t="s">
        <v>66</v>
      </c>
      <c r="D127" s="7" t="s">
        <v>31</v>
      </c>
      <c r="E127" s="7" t="s">
        <v>31</v>
      </c>
      <c r="F127" s="12" t="n">
        <f aca="false">IF(D127=E127,1,0)</f>
        <v>1</v>
      </c>
      <c r="G127" s="13" t="n">
        <v>0.0138568129330254</v>
      </c>
      <c r="H127" s="14" t="n">
        <v>0.299136963951889</v>
      </c>
      <c r="I127" s="14" t="n">
        <v>0.230965463643289</v>
      </c>
      <c r="J127" s="14" t="n">
        <v>0.469897572404822</v>
      </c>
      <c r="K127" s="12" t="s">
        <v>65</v>
      </c>
      <c r="L127" s="15" t="n">
        <v>953</v>
      </c>
      <c r="M127" s="15" t="n">
        <v>4</v>
      </c>
    </row>
    <row r="128" customFormat="false" ht="15" hidden="false" customHeight="false" outlineLevel="0" collapsed="false">
      <c r="A128" s="12" t="s">
        <v>34</v>
      </c>
      <c r="B128" s="7" t="s">
        <v>35</v>
      </c>
      <c r="C128" s="12" t="s">
        <v>66</v>
      </c>
      <c r="D128" s="7" t="s">
        <v>31</v>
      </c>
      <c r="E128" s="7" t="s">
        <v>31</v>
      </c>
      <c r="F128" s="12" t="n">
        <f aca="false">IF(D128=E128,1,0)</f>
        <v>1</v>
      </c>
      <c r="G128" s="13" t="n">
        <v>0.0438413361169103</v>
      </c>
      <c r="H128" s="14" t="n">
        <v>0.310524107980442</v>
      </c>
      <c r="I128" s="14" t="n">
        <v>0.244324214202492</v>
      </c>
      <c r="J128" s="14" t="n">
        <v>0.445151677817066</v>
      </c>
      <c r="K128" s="12" t="s">
        <v>65</v>
      </c>
      <c r="L128" s="15" t="n">
        <v>953</v>
      </c>
      <c r="M128" s="15" t="n">
        <v>4</v>
      </c>
    </row>
    <row r="129" customFormat="false" ht="15" hidden="false" customHeight="false" outlineLevel="0" collapsed="false">
      <c r="A129" s="12" t="s">
        <v>36</v>
      </c>
      <c r="B129" s="7" t="s">
        <v>37</v>
      </c>
      <c r="C129" s="12" t="s">
        <v>66</v>
      </c>
      <c r="D129" s="7" t="s">
        <v>31</v>
      </c>
      <c r="E129" s="7" t="s">
        <v>40</v>
      </c>
      <c r="F129" s="12" t="n">
        <f aca="false">IF(D129=E129,1,0)</f>
        <v>0</v>
      </c>
      <c r="G129" s="13" t="n">
        <v>0.0022222222222221</v>
      </c>
      <c r="H129" s="14" t="n">
        <v>0.323426613152725</v>
      </c>
      <c r="I129" s="14" t="n">
        <v>0.20574089327118</v>
      </c>
      <c r="J129" s="14" t="n">
        <v>0.470832493576095</v>
      </c>
      <c r="K129" s="12" t="s">
        <v>65</v>
      </c>
      <c r="L129" s="15" t="n">
        <v>953</v>
      </c>
      <c r="M129" s="15" t="n">
        <v>4</v>
      </c>
    </row>
    <row r="130" customFormat="false" ht="15" hidden="false" customHeight="false" outlineLevel="0" collapsed="false">
      <c r="A130" s="12" t="s">
        <v>41</v>
      </c>
      <c r="B130" s="7" t="s">
        <v>42</v>
      </c>
      <c r="C130" s="12" t="s">
        <v>66</v>
      </c>
      <c r="D130" s="7" t="s">
        <v>31</v>
      </c>
      <c r="E130" s="7" t="s">
        <v>31</v>
      </c>
      <c r="F130" s="12" t="n">
        <f aca="false">IF(D130=E130,1,0)</f>
        <v>1</v>
      </c>
      <c r="G130" s="13" t="n">
        <v>0.0288461538461537</v>
      </c>
      <c r="H130" s="14" t="n">
        <v>0.314882263204763</v>
      </c>
      <c r="I130" s="14" t="n">
        <v>0.259889173056363</v>
      </c>
      <c r="J130" s="14" t="n">
        <v>0.425228563738875</v>
      </c>
      <c r="K130" s="12" t="s">
        <v>65</v>
      </c>
      <c r="L130" s="15" t="n">
        <v>953</v>
      </c>
      <c r="M130" s="15" t="n">
        <v>4</v>
      </c>
    </row>
    <row r="131" customFormat="false" ht="15" hidden="false" customHeight="false" outlineLevel="0" collapsed="false">
      <c r="A131" s="12" t="s">
        <v>43</v>
      </c>
      <c r="B131" s="7" t="s">
        <v>44</v>
      </c>
      <c r="C131" s="12" t="s">
        <v>66</v>
      </c>
      <c r="D131" s="7" t="s">
        <v>31</v>
      </c>
      <c r="E131" s="7" t="s">
        <v>40</v>
      </c>
      <c r="F131" s="12" t="n">
        <f aca="false">IF(D131=E131,1,0)</f>
        <v>0</v>
      </c>
      <c r="G131" s="13" t="n">
        <v>-0.010362694300518</v>
      </c>
      <c r="H131" s="14" t="n">
        <v>0.349607883390719</v>
      </c>
      <c r="I131" s="14" t="n">
        <v>0.234431155897863</v>
      </c>
      <c r="J131" s="14" t="n">
        <v>0.415960960711418</v>
      </c>
      <c r="K131" s="12" t="s">
        <v>65</v>
      </c>
      <c r="L131" s="15" t="n">
        <v>953</v>
      </c>
      <c r="M131" s="15" t="n">
        <v>4</v>
      </c>
    </row>
    <row r="132" customFormat="false" ht="15" hidden="false" customHeight="false" outlineLevel="0" collapsed="false">
      <c r="A132" s="12" t="s">
        <v>28</v>
      </c>
      <c r="B132" s="7" t="s">
        <v>29</v>
      </c>
      <c r="C132" s="12" t="s">
        <v>67</v>
      </c>
      <c r="D132" s="7" t="s">
        <v>31</v>
      </c>
      <c r="E132" s="7" t="s">
        <v>32</v>
      </c>
      <c r="F132" s="12" t="n">
        <f aca="false">IF(D132=E132,1,0)</f>
        <v>0</v>
      </c>
      <c r="G132" s="13" t="n">
        <v>-0.0203619909502262</v>
      </c>
      <c r="H132" s="14" t="n">
        <v>0.296837026467004</v>
      </c>
      <c r="I132" s="14" t="n">
        <v>0.242089482267777</v>
      </c>
      <c r="J132" s="14" t="n">
        <v>0.461073491265219</v>
      </c>
      <c r="K132" s="12" t="s">
        <v>65</v>
      </c>
      <c r="L132" s="15" t="n">
        <v>953</v>
      </c>
      <c r="M132" s="15" t="n">
        <v>4</v>
      </c>
    </row>
    <row r="133" customFormat="false" ht="15" hidden="false" customHeight="false" outlineLevel="0" collapsed="false">
      <c r="A133" s="12" t="s">
        <v>34</v>
      </c>
      <c r="B133" s="7" t="s">
        <v>35</v>
      </c>
      <c r="C133" s="12" t="s">
        <v>67</v>
      </c>
      <c r="D133" s="7" t="s">
        <v>31</v>
      </c>
      <c r="E133" s="7" t="s">
        <v>40</v>
      </c>
      <c r="F133" s="12" t="n">
        <f aca="false">IF(D133=E133,1,0)</f>
        <v>0</v>
      </c>
      <c r="G133" s="13" t="n">
        <v>-0.0039682539682539</v>
      </c>
      <c r="H133" s="14" t="n">
        <v>0.300581721678807</v>
      </c>
      <c r="I133" s="14" t="n">
        <v>0.260109517550573</v>
      </c>
      <c r="J133" s="14" t="n">
        <v>0.43930876077062</v>
      </c>
      <c r="K133" s="12" t="s">
        <v>65</v>
      </c>
      <c r="L133" s="15" t="n">
        <v>953</v>
      </c>
      <c r="M133" s="15" t="n">
        <v>4</v>
      </c>
    </row>
    <row r="134" customFormat="false" ht="15" hidden="false" customHeight="false" outlineLevel="0" collapsed="false">
      <c r="A134" s="12" t="s">
        <v>36</v>
      </c>
      <c r="B134" s="7" t="s">
        <v>37</v>
      </c>
      <c r="C134" s="12" t="s">
        <v>67</v>
      </c>
      <c r="D134" s="7" t="s">
        <v>31</v>
      </c>
      <c r="E134" s="7" t="s">
        <v>32</v>
      </c>
      <c r="F134" s="12" t="n">
        <f aca="false">IF(D134=E134,1,0)</f>
        <v>0</v>
      </c>
      <c r="G134" s="13" t="n">
        <v>-0.0133333333333333</v>
      </c>
      <c r="H134" s="14" t="n">
        <v>0.325340631669401</v>
      </c>
      <c r="I134" s="14" t="n">
        <v>0.239063112527803</v>
      </c>
      <c r="J134" s="14" t="n">
        <v>0.435596255802796</v>
      </c>
      <c r="K134" s="12" t="s">
        <v>65</v>
      </c>
      <c r="L134" s="15" t="n">
        <v>953</v>
      </c>
      <c r="M134" s="15" t="n">
        <v>4</v>
      </c>
    </row>
    <row r="135" customFormat="false" ht="15" hidden="false" customHeight="false" outlineLevel="0" collapsed="false">
      <c r="A135" s="12" t="s">
        <v>38</v>
      </c>
      <c r="B135" s="7" t="s">
        <v>39</v>
      </c>
      <c r="C135" s="12" t="s">
        <v>67</v>
      </c>
      <c r="D135" s="7" t="s">
        <v>31</v>
      </c>
      <c r="E135" s="7" t="s">
        <v>31</v>
      </c>
      <c r="F135" s="12" t="n">
        <f aca="false">IF(D135=E135,1,0)</f>
        <v>1</v>
      </c>
      <c r="G135" s="13" t="n">
        <v>0.0189504373177842</v>
      </c>
      <c r="H135" s="14" t="n">
        <v>0.278700419859207</v>
      </c>
      <c r="I135" s="14" t="n">
        <v>0.241174451147046</v>
      </c>
      <c r="J135" s="14" t="n">
        <v>0.480125128993747</v>
      </c>
      <c r="K135" s="12" t="s">
        <v>65</v>
      </c>
      <c r="L135" s="15" t="n">
        <v>953</v>
      </c>
      <c r="M135" s="15" t="n">
        <v>4</v>
      </c>
    </row>
    <row r="136" customFormat="false" ht="15" hidden="false" customHeight="false" outlineLevel="0" collapsed="false">
      <c r="A136" s="12" t="s">
        <v>41</v>
      </c>
      <c r="B136" s="7" t="s">
        <v>42</v>
      </c>
      <c r="C136" s="12" t="s">
        <v>67</v>
      </c>
      <c r="D136" s="7" t="s">
        <v>31</v>
      </c>
      <c r="E136" s="7" t="s">
        <v>40</v>
      </c>
      <c r="F136" s="12" t="n">
        <f aca="false">IF(D136=E136,1,0)</f>
        <v>0</v>
      </c>
      <c r="G136" s="13" t="n">
        <v>-0.0094339622641509</v>
      </c>
      <c r="H136" s="14" t="n">
        <v>0.314633497531668</v>
      </c>
      <c r="I136" s="14" t="n">
        <v>0.263099311928468</v>
      </c>
      <c r="J136" s="14" t="n">
        <v>0.422267190539865</v>
      </c>
      <c r="K136" s="12" t="s">
        <v>65</v>
      </c>
      <c r="L136" s="15" t="n">
        <v>953</v>
      </c>
      <c r="M136" s="15" t="n">
        <v>4</v>
      </c>
    </row>
    <row r="137" customFormat="false" ht="15" hidden="false" customHeight="false" outlineLevel="0" collapsed="false">
      <c r="A137" s="12" t="s">
        <v>43</v>
      </c>
      <c r="B137" s="7" t="s">
        <v>44</v>
      </c>
      <c r="C137" s="12" t="s">
        <v>67</v>
      </c>
      <c r="D137" s="7" t="s">
        <v>31</v>
      </c>
      <c r="E137" s="7" t="s">
        <v>32</v>
      </c>
      <c r="F137" s="12" t="n">
        <f aca="false">IF(D137=E137,1,0)</f>
        <v>0</v>
      </c>
      <c r="G137" s="13" t="n">
        <v>-0.0177890724269378</v>
      </c>
      <c r="H137" s="14" t="n">
        <v>0.341855089535081</v>
      </c>
      <c r="I137" s="14" t="n">
        <v>0.237225618466829</v>
      </c>
      <c r="J137" s="14" t="n">
        <v>0.42091929199809</v>
      </c>
      <c r="K137" s="12" t="s">
        <v>65</v>
      </c>
      <c r="L137" s="15" t="n">
        <v>953</v>
      </c>
      <c r="M137" s="15" t="n">
        <v>4</v>
      </c>
    </row>
    <row r="138" customFormat="false" ht="15" hidden="false" customHeight="false" outlineLevel="0" collapsed="false">
      <c r="A138" s="12" t="s">
        <v>28</v>
      </c>
      <c r="B138" s="7" t="s">
        <v>29</v>
      </c>
      <c r="C138" s="12" t="s">
        <v>68</v>
      </c>
      <c r="D138" s="7" t="s">
        <v>31</v>
      </c>
      <c r="E138" s="7" t="s">
        <v>32</v>
      </c>
      <c r="F138" s="12" t="n">
        <f aca="false">IF(D138=E138,1,0)</f>
        <v>0</v>
      </c>
      <c r="G138" s="13" t="n">
        <v>-0.0548245614035087</v>
      </c>
      <c r="H138" s="14" t="n">
        <v>0.291578175791149</v>
      </c>
      <c r="I138" s="14" t="n">
        <v>0.243900033285622</v>
      </c>
      <c r="J138" s="14" t="n">
        <v>0.464521790923229</v>
      </c>
      <c r="K138" s="12" t="s">
        <v>65</v>
      </c>
      <c r="L138" s="15" t="n">
        <v>953</v>
      </c>
      <c r="M138" s="15" t="n">
        <v>4</v>
      </c>
    </row>
    <row r="139" customFormat="false" ht="15" hidden="false" customHeight="false" outlineLevel="0" collapsed="false">
      <c r="A139" s="12" t="s">
        <v>34</v>
      </c>
      <c r="B139" s="7" t="s">
        <v>35</v>
      </c>
      <c r="C139" s="12" t="s">
        <v>68</v>
      </c>
      <c r="D139" s="7" t="s">
        <v>31</v>
      </c>
      <c r="E139" s="7" t="s">
        <v>32</v>
      </c>
      <c r="F139" s="12" t="n">
        <f aca="false">IF(D139=E139,1,0)</f>
        <v>0</v>
      </c>
      <c r="G139" s="13" t="n">
        <v>-0.0355029585798816</v>
      </c>
      <c r="H139" s="14" t="n">
        <v>0.291439272317568</v>
      </c>
      <c r="I139" s="14" t="n">
        <v>0.269819887133079</v>
      </c>
      <c r="J139" s="14" t="n">
        <v>0.438740840549353</v>
      </c>
      <c r="K139" s="12" t="s">
        <v>65</v>
      </c>
      <c r="L139" s="15" t="n">
        <v>953</v>
      </c>
      <c r="M139" s="15" t="n">
        <v>4</v>
      </c>
    </row>
    <row r="140" customFormat="false" ht="15" hidden="false" customHeight="false" outlineLevel="0" collapsed="false">
      <c r="A140" s="12" t="s">
        <v>36</v>
      </c>
      <c r="B140" s="7" t="s">
        <v>37</v>
      </c>
      <c r="C140" s="12" t="s">
        <v>68</v>
      </c>
      <c r="D140" s="7" t="s">
        <v>31</v>
      </c>
      <c r="E140" s="7" t="s">
        <v>32</v>
      </c>
      <c r="F140" s="12" t="n">
        <f aca="false">IF(D140=E140,1,0)</f>
        <v>0</v>
      </c>
      <c r="G140" s="13" t="n">
        <v>-0.0173160173160172</v>
      </c>
      <c r="H140" s="14" t="n">
        <v>0.31675776345539</v>
      </c>
      <c r="I140" s="14" t="n">
        <v>0.242104420906481</v>
      </c>
      <c r="J140" s="14" t="n">
        <v>0.441137815638129</v>
      </c>
      <c r="K140" s="12" t="s">
        <v>65</v>
      </c>
      <c r="L140" s="15" t="n">
        <v>953</v>
      </c>
      <c r="M140" s="15" t="n">
        <v>4</v>
      </c>
    </row>
    <row r="141" customFormat="false" ht="15" hidden="false" customHeight="false" outlineLevel="0" collapsed="false">
      <c r="A141" s="12" t="s">
        <v>38</v>
      </c>
      <c r="B141" s="7" t="s">
        <v>39</v>
      </c>
      <c r="C141" s="12" t="s">
        <v>68</v>
      </c>
      <c r="D141" s="7" t="s">
        <v>31</v>
      </c>
      <c r="E141" s="7" t="s">
        <v>40</v>
      </c>
      <c r="F141" s="12" t="n">
        <f aca="false">IF(D141=E141,1,0)</f>
        <v>0</v>
      </c>
      <c r="G141" s="13" t="n">
        <v>-0.0043859649122807</v>
      </c>
      <c r="H141" s="14" t="n">
        <v>0.317113439173511</v>
      </c>
      <c r="I141" s="14" t="n">
        <v>0.231478824798292</v>
      </c>
      <c r="J141" s="14" t="n">
        <v>0.451407736028196</v>
      </c>
      <c r="K141" s="12" t="s">
        <v>65</v>
      </c>
      <c r="L141" s="15" t="n">
        <v>953</v>
      </c>
      <c r="M141" s="15" t="n">
        <v>4</v>
      </c>
    </row>
    <row r="142" customFormat="false" ht="15" hidden="false" customHeight="false" outlineLevel="0" collapsed="false">
      <c r="A142" s="12" t="s">
        <v>41</v>
      </c>
      <c r="B142" s="7" t="s">
        <v>42</v>
      </c>
      <c r="C142" s="12" t="s">
        <v>68</v>
      </c>
      <c r="D142" s="7" t="s">
        <v>31</v>
      </c>
      <c r="E142" s="7" t="s">
        <v>40</v>
      </c>
      <c r="F142" s="12" t="n">
        <f aca="false">IF(D142=E142,1,0)</f>
        <v>0</v>
      </c>
      <c r="G142" s="13" t="n">
        <v>-0.009367681498829</v>
      </c>
      <c r="H142" s="14" t="n">
        <v>0.312384379753515</v>
      </c>
      <c r="I142" s="14" t="n">
        <v>0.266388825280267</v>
      </c>
      <c r="J142" s="14" t="n">
        <v>0.421226794966218</v>
      </c>
      <c r="K142" s="12" t="s">
        <v>65</v>
      </c>
      <c r="L142" s="15" t="n">
        <v>953</v>
      </c>
      <c r="M142" s="15" t="n">
        <v>4</v>
      </c>
    </row>
    <row r="143" customFormat="false" ht="15" hidden="false" customHeight="false" outlineLevel="0" collapsed="false">
      <c r="A143" s="12" t="s">
        <v>43</v>
      </c>
      <c r="B143" s="7" t="s">
        <v>44</v>
      </c>
      <c r="C143" s="12" t="s">
        <v>68</v>
      </c>
      <c r="D143" s="7" t="s">
        <v>31</v>
      </c>
      <c r="E143" s="7" t="s">
        <v>32</v>
      </c>
      <c r="F143" s="12" t="n">
        <f aca="false">IF(D143=E143,1,0)</f>
        <v>0</v>
      </c>
      <c r="G143" s="13" t="n">
        <v>-0.0291139240506328</v>
      </c>
      <c r="H143" s="14" t="n">
        <v>0.31732248931892</v>
      </c>
      <c r="I143" s="14" t="n">
        <v>0.256674798645719</v>
      </c>
      <c r="J143" s="14" t="n">
        <v>0.426002712035361</v>
      </c>
      <c r="K143" s="12" t="s">
        <v>65</v>
      </c>
      <c r="L143" s="15" t="n">
        <v>953</v>
      </c>
      <c r="M143" s="15" t="n">
        <v>4</v>
      </c>
    </row>
    <row r="144" customFormat="false" ht="15" hidden="false" customHeight="false" outlineLevel="0" collapsed="false">
      <c r="A144" s="12" t="s">
        <v>28</v>
      </c>
      <c r="B144" s="7" t="s">
        <v>29</v>
      </c>
      <c r="C144" s="12" t="s">
        <v>69</v>
      </c>
      <c r="D144" s="7" t="s">
        <v>31</v>
      </c>
      <c r="E144" s="7" t="s">
        <v>32</v>
      </c>
      <c r="F144" s="12" t="n">
        <f aca="false">IF(D144=E144,1,0)</f>
        <v>0</v>
      </c>
      <c r="G144" s="13" t="n">
        <v>-0.0568181818181817</v>
      </c>
      <c r="H144" s="14" t="n">
        <v>0.298713786563209</v>
      </c>
      <c r="I144" s="14" t="n">
        <v>0.232038990920847</v>
      </c>
      <c r="J144" s="14" t="n">
        <v>0.469247222515944</v>
      </c>
      <c r="K144" s="12" t="s">
        <v>65</v>
      </c>
      <c r="L144" s="15" t="n">
        <v>953</v>
      </c>
      <c r="M144" s="15" t="n">
        <v>4</v>
      </c>
    </row>
    <row r="145" customFormat="false" ht="15" hidden="false" customHeight="false" outlineLevel="0" collapsed="false">
      <c r="A145" s="12" t="s">
        <v>34</v>
      </c>
      <c r="B145" s="7" t="s">
        <v>35</v>
      </c>
      <c r="C145" s="12" t="s">
        <v>69</v>
      </c>
      <c r="D145" s="7" t="s">
        <v>31</v>
      </c>
      <c r="E145" s="7" t="s">
        <v>40</v>
      </c>
      <c r="F145" s="12" t="n">
        <f aca="false">IF(D145=E145,1,0)</f>
        <v>0</v>
      </c>
      <c r="G145" s="13" t="n">
        <v>-0.006</v>
      </c>
      <c r="H145" s="14" t="n">
        <v>0.296984461904015</v>
      </c>
      <c r="I145" s="14" t="n">
        <v>0.256986139198717</v>
      </c>
      <c r="J145" s="14" t="n">
        <v>0.446029398897268</v>
      </c>
      <c r="K145" s="12" t="s">
        <v>65</v>
      </c>
      <c r="L145" s="15" t="n">
        <v>953</v>
      </c>
      <c r="M145" s="15" t="n">
        <v>4</v>
      </c>
    </row>
    <row r="146" customFormat="false" ht="15" hidden="false" customHeight="false" outlineLevel="0" collapsed="false">
      <c r="A146" s="12" t="s">
        <v>36</v>
      </c>
      <c r="B146" s="7" t="s">
        <v>37</v>
      </c>
      <c r="C146" s="12" t="s">
        <v>69</v>
      </c>
      <c r="D146" s="7" t="s">
        <v>31</v>
      </c>
      <c r="E146" s="7" t="s">
        <v>40</v>
      </c>
      <c r="F146" s="12" t="n">
        <f aca="false">IF(D146=E146,1,0)</f>
        <v>0</v>
      </c>
      <c r="G146" s="13" t="n">
        <v>-0.0109170305676855</v>
      </c>
      <c r="H146" s="14" t="n">
        <v>0.330135621378604</v>
      </c>
      <c r="I146" s="14" t="n">
        <v>0.240404113693935</v>
      </c>
      <c r="J146" s="14" t="n">
        <v>0.429460264927462</v>
      </c>
      <c r="K146" s="12" t="s">
        <v>65</v>
      </c>
      <c r="L146" s="15" t="n">
        <v>953</v>
      </c>
      <c r="M146" s="15" t="n">
        <v>4</v>
      </c>
    </row>
    <row r="147" customFormat="false" ht="15" hidden="false" customHeight="false" outlineLevel="0" collapsed="false">
      <c r="A147" s="12" t="s">
        <v>38</v>
      </c>
      <c r="B147" s="7" t="s">
        <v>39</v>
      </c>
      <c r="C147" s="12" t="s">
        <v>69</v>
      </c>
      <c r="D147" s="7" t="s">
        <v>31</v>
      </c>
      <c r="E147" s="7" t="s">
        <v>32</v>
      </c>
      <c r="F147" s="12" t="n">
        <f aca="false">IF(D147=E147,1,0)</f>
        <v>0</v>
      </c>
      <c r="G147" s="13" t="n">
        <v>-0.101928374655647</v>
      </c>
      <c r="H147" s="14" t="n">
        <v>0.303773799132056</v>
      </c>
      <c r="I147" s="14" t="n">
        <v>0.223591732950755</v>
      </c>
      <c r="J147" s="14" t="n">
        <v>0.472634467917189</v>
      </c>
      <c r="K147" s="12" t="s">
        <v>65</v>
      </c>
      <c r="L147" s="15" t="n">
        <v>953</v>
      </c>
      <c r="M147" s="15" t="n">
        <v>4</v>
      </c>
    </row>
    <row r="148" customFormat="false" ht="15" hidden="false" customHeight="false" outlineLevel="0" collapsed="false">
      <c r="A148" s="12" t="s">
        <v>41</v>
      </c>
      <c r="B148" s="7" t="s">
        <v>42</v>
      </c>
      <c r="C148" s="12" t="s">
        <v>69</v>
      </c>
      <c r="D148" s="7" t="s">
        <v>31</v>
      </c>
      <c r="E148" s="7" t="s">
        <v>32</v>
      </c>
      <c r="F148" s="12" t="n">
        <f aca="false">IF(D148=E148,1,0)</f>
        <v>0</v>
      </c>
      <c r="G148" s="13" t="n">
        <v>-0.0520094562647753</v>
      </c>
      <c r="H148" s="14" t="n">
        <v>0.294373842370625</v>
      </c>
      <c r="I148" s="14" t="n">
        <v>0.290103465739816</v>
      </c>
      <c r="J148" s="14" t="n">
        <v>0.415522691889558</v>
      </c>
      <c r="K148" s="12" t="s">
        <v>65</v>
      </c>
      <c r="L148" s="15" t="n">
        <v>953</v>
      </c>
      <c r="M148" s="15" t="n">
        <v>4</v>
      </c>
    </row>
    <row r="149" customFormat="false" ht="15" hidden="false" customHeight="false" outlineLevel="0" collapsed="false">
      <c r="A149" s="12" t="s">
        <v>43</v>
      </c>
      <c r="B149" s="7" t="s">
        <v>44</v>
      </c>
      <c r="C149" s="12" t="s">
        <v>69</v>
      </c>
      <c r="D149" s="7" t="s">
        <v>31</v>
      </c>
      <c r="E149" s="7" t="s">
        <v>32</v>
      </c>
      <c r="F149" s="12" t="n">
        <f aca="false">IF(D149=E149,1,0)</f>
        <v>0</v>
      </c>
      <c r="G149" s="13" t="n">
        <v>-0.0262499999999998</v>
      </c>
      <c r="H149" s="14" t="n">
        <v>0.328244545490868</v>
      </c>
      <c r="I149" s="14" t="n">
        <v>0.249110436683088</v>
      </c>
      <c r="J149" s="14" t="n">
        <v>0.422645017826044</v>
      </c>
      <c r="K149" s="12" t="s">
        <v>65</v>
      </c>
      <c r="L149" s="15" t="n">
        <v>953</v>
      </c>
      <c r="M149" s="15" t="n">
        <v>4</v>
      </c>
    </row>
    <row r="150" customFormat="false" ht="15" hidden="false" customHeight="false" outlineLevel="0" collapsed="false">
      <c r="A150" s="12" t="s">
        <v>28</v>
      </c>
      <c r="B150" s="7" t="s">
        <v>29</v>
      </c>
      <c r="C150" s="12" t="s">
        <v>70</v>
      </c>
      <c r="D150" s="7" t="s">
        <v>31</v>
      </c>
      <c r="E150" s="7" t="s">
        <v>32</v>
      </c>
      <c r="F150" s="12" t="n">
        <f aca="false">IF(D150=E150,1,0)</f>
        <v>0</v>
      </c>
      <c r="G150" s="13" t="n">
        <v>-0.10022271714922</v>
      </c>
      <c r="H150" s="14" t="n">
        <v>0.327282164559428</v>
      </c>
      <c r="I150" s="14" t="n">
        <v>0.2288042590175</v>
      </c>
      <c r="J150" s="14" t="n">
        <v>0.443913576423073</v>
      </c>
      <c r="K150" s="12" t="s">
        <v>65</v>
      </c>
      <c r="L150" s="15" t="n">
        <v>953</v>
      </c>
      <c r="M150" s="15" t="n">
        <v>4</v>
      </c>
    </row>
    <row r="151" customFormat="false" ht="15" hidden="false" customHeight="false" outlineLevel="0" collapsed="false">
      <c r="A151" s="12" t="s">
        <v>34</v>
      </c>
      <c r="B151" s="7" t="s">
        <v>35</v>
      </c>
      <c r="C151" s="12" t="s">
        <v>70</v>
      </c>
      <c r="D151" s="7" t="s">
        <v>31</v>
      </c>
      <c r="E151" s="7" t="s">
        <v>32</v>
      </c>
      <c r="F151" s="12" t="n">
        <f aca="false">IF(D151=E151,1,0)</f>
        <v>0</v>
      </c>
      <c r="G151" s="13" t="n">
        <v>-0.0138888888888888</v>
      </c>
      <c r="H151" s="14" t="n">
        <v>0.300092451356116</v>
      </c>
      <c r="I151" s="14" t="n">
        <v>0.258778920779297</v>
      </c>
      <c r="J151" s="14" t="n">
        <v>0.441128627864587</v>
      </c>
      <c r="K151" s="12" t="s">
        <v>65</v>
      </c>
      <c r="L151" s="15" t="n">
        <v>953</v>
      </c>
      <c r="M151" s="15" t="n">
        <v>4</v>
      </c>
    </row>
    <row r="152" customFormat="false" ht="15" hidden="false" customHeight="false" outlineLevel="0" collapsed="false">
      <c r="A152" s="12" t="s">
        <v>36</v>
      </c>
      <c r="B152" s="7" t="s">
        <v>37</v>
      </c>
      <c r="C152" s="12" t="s">
        <v>70</v>
      </c>
      <c r="D152" s="7" t="s">
        <v>31</v>
      </c>
      <c r="E152" s="7" t="s">
        <v>40</v>
      </c>
      <c r="F152" s="12" t="n">
        <f aca="false">IF(D152=E152,1,0)</f>
        <v>0</v>
      </c>
      <c r="G152" s="13" t="n">
        <v>0.0022371364653244</v>
      </c>
      <c r="H152" s="14" t="n">
        <v>0.344634633947597</v>
      </c>
      <c r="I152" s="14" t="n">
        <v>0.234248407851186</v>
      </c>
      <c r="J152" s="14" t="n">
        <v>0.421116958201217</v>
      </c>
      <c r="K152" s="12" t="s">
        <v>65</v>
      </c>
      <c r="L152" s="15" t="n">
        <v>953</v>
      </c>
      <c r="M152" s="15" t="n">
        <v>4</v>
      </c>
    </row>
    <row r="153" customFormat="false" ht="15" hidden="false" customHeight="false" outlineLevel="0" collapsed="false">
      <c r="A153" s="12" t="s">
        <v>38</v>
      </c>
      <c r="B153" s="7" t="s">
        <v>39</v>
      </c>
      <c r="C153" s="12" t="s">
        <v>70</v>
      </c>
      <c r="D153" s="7" t="s">
        <v>31</v>
      </c>
      <c r="E153" s="7" t="s">
        <v>32</v>
      </c>
      <c r="F153" s="12" t="n">
        <f aca="false">IF(D153=E153,1,0)</f>
        <v>0</v>
      </c>
      <c r="G153" s="13" t="n">
        <v>-0.123711340206186</v>
      </c>
      <c r="H153" s="14" t="n">
        <v>0.301311398916305</v>
      </c>
      <c r="I153" s="14" t="n">
        <v>0.230744282883912</v>
      </c>
      <c r="J153" s="14" t="n">
        <v>0.467944318199783</v>
      </c>
      <c r="K153" s="12" t="s">
        <v>65</v>
      </c>
      <c r="L153" s="15" t="n">
        <v>953</v>
      </c>
      <c r="M153" s="15" t="n">
        <v>4</v>
      </c>
    </row>
    <row r="154" customFormat="false" ht="15" hidden="false" customHeight="false" outlineLevel="0" collapsed="false">
      <c r="A154" s="12" t="s">
        <v>41</v>
      </c>
      <c r="B154" s="7" t="s">
        <v>42</v>
      </c>
      <c r="C154" s="12" t="s">
        <v>70</v>
      </c>
      <c r="D154" s="7" t="s">
        <v>31</v>
      </c>
      <c r="E154" s="7" t="s">
        <v>32</v>
      </c>
      <c r="F154" s="12" t="n">
        <f aca="false">IF(D154=E154,1,0)</f>
        <v>0</v>
      </c>
      <c r="G154" s="13" t="n">
        <v>-0.0771028037383178</v>
      </c>
      <c r="H154" s="14" t="n">
        <v>0.28742690742737</v>
      </c>
      <c r="I154" s="14" t="n">
        <v>0.243629361068347</v>
      </c>
      <c r="J154" s="14" t="n">
        <v>0.468943731504283</v>
      </c>
      <c r="K154" s="12" t="s">
        <v>65</v>
      </c>
      <c r="L154" s="15" t="n">
        <v>953</v>
      </c>
      <c r="M154" s="15" t="n">
        <v>4</v>
      </c>
    </row>
    <row r="155" customFormat="false" ht="15" hidden="false" customHeight="false" outlineLevel="0" collapsed="false">
      <c r="A155" s="12" t="s">
        <v>43</v>
      </c>
      <c r="B155" s="7" t="s">
        <v>44</v>
      </c>
      <c r="C155" s="12" t="s">
        <v>70</v>
      </c>
      <c r="D155" s="7" t="s">
        <v>31</v>
      </c>
      <c r="E155" s="7" t="s">
        <v>32</v>
      </c>
      <c r="F155" s="12" t="n">
        <f aca="false">IF(D155=E155,1,0)</f>
        <v>0</v>
      </c>
      <c r="G155" s="13" t="n">
        <v>-0.0204081632653062</v>
      </c>
      <c r="H155" s="14" t="n">
        <v>0.308461912581186</v>
      </c>
      <c r="I155" s="14" t="n">
        <v>0.273985683482649</v>
      </c>
      <c r="J155" s="14" t="n">
        <v>0.417552403936165</v>
      </c>
      <c r="K155" s="12" t="s">
        <v>65</v>
      </c>
      <c r="L155" s="15" t="n">
        <v>953</v>
      </c>
      <c r="M155" s="15" t="n">
        <v>4</v>
      </c>
    </row>
    <row r="156" customFormat="false" ht="15" hidden="false" customHeight="false" outlineLevel="0" collapsed="false">
      <c r="A156" s="12" t="s">
        <v>28</v>
      </c>
      <c r="B156" s="7" t="s">
        <v>29</v>
      </c>
      <c r="C156" s="12" t="s">
        <v>71</v>
      </c>
      <c r="D156" s="7" t="s">
        <v>31</v>
      </c>
      <c r="E156" s="7" t="s">
        <v>32</v>
      </c>
      <c r="F156" s="12" t="n">
        <f aca="false">IF(D156=E156,1,0)</f>
        <v>0</v>
      </c>
      <c r="G156" s="13" t="n">
        <v>-0.12756264236902</v>
      </c>
      <c r="H156" s="14" t="n">
        <v>0.320351987652232</v>
      </c>
      <c r="I156" s="14" t="n">
        <v>0.232430559863078</v>
      </c>
      <c r="J156" s="14" t="n">
        <v>0.44721745248469</v>
      </c>
      <c r="K156" s="12" t="s">
        <v>65</v>
      </c>
      <c r="L156" s="15" t="n">
        <v>953</v>
      </c>
      <c r="M156" s="15" t="n">
        <v>4</v>
      </c>
    </row>
    <row r="157" customFormat="false" ht="15" hidden="false" customHeight="false" outlineLevel="0" collapsed="false">
      <c r="A157" s="12" t="s">
        <v>34</v>
      </c>
      <c r="B157" s="7" t="s">
        <v>35</v>
      </c>
      <c r="C157" s="12" t="s">
        <v>71</v>
      </c>
      <c r="D157" s="7" t="s">
        <v>31</v>
      </c>
      <c r="E157" s="7" t="s">
        <v>32</v>
      </c>
      <c r="F157" s="12" t="n">
        <f aca="false">IF(D157=E157,1,0)</f>
        <v>0</v>
      </c>
      <c r="G157" s="13" t="n">
        <v>-0.02</v>
      </c>
      <c r="H157" s="14" t="n">
        <v>0.332252076633754</v>
      </c>
      <c r="I157" s="14" t="n">
        <v>0.228360888070997</v>
      </c>
      <c r="J157" s="14" t="n">
        <v>0.439387035295249</v>
      </c>
      <c r="K157" s="12" t="s">
        <v>65</v>
      </c>
      <c r="L157" s="15" t="n">
        <v>953</v>
      </c>
      <c r="M157" s="15" t="n">
        <v>4</v>
      </c>
    </row>
    <row r="158" customFormat="false" ht="15" hidden="false" customHeight="false" outlineLevel="0" collapsed="false">
      <c r="A158" s="12" t="s">
        <v>36</v>
      </c>
      <c r="B158" s="7" t="s">
        <v>37</v>
      </c>
      <c r="C158" s="12" t="s">
        <v>71</v>
      </c>
      <c r="D158" s="7" t="s">
        <v>31</v>
      </c>
      <c r="E158" s="7" t="s">
        <v>32</v>
      </c>
      <c r="F158" s="12" t="n">
        <f aca="false">IF(D158=E158,1,0)</f>
        <v>0</v>
      </c>
      <c r="G158" s="13" t="n">
        <v>-0.0221729490022173</v>
      </c>
      <c r="H158" s="14" t="n">
        <v>0.350820176197832</v>
      </c>
      <c r="I158" s="14" t="n">
        <v>0.232813913548944</v>
      </c>
      <c r="J158" s="14" t="n">
        <v>0.416365910253224</v>
      </c>
      <c r="K158" s="12" t="s">
        <v>65</v>
      </c>
      <c r="L158" s="15" t="n">
        <v>953</v>
      </c>
      <c r="M158" s="15" t="n">
        <v>4</v>
      </c>
    </row>
    <row r="159" customFormat="false" ht="15" hidden="false" customHeight="false" outlineLevel="0" collapsed="false">
      <c r="A159" s="12" t="s">
        <v>38</v>
      </c>
      <c r="B159" s="7" t="s">
        <v>39</v>
      </c>
      <c r="C159" s="12" t="s">
        <v>71</v>
      </c>
      <c r="D159" s="7" t="s">
        <v>31</v>
      </c>
      <c r="E159" s="7" t="s">
        <v>32</v>
      </c>
      <c r="F159" s="12" t="n">
        <f aca="false">IF(D159=E159,1,0)</f>
        <v>0</v>
      </c>
      <c r="G159" s="13" t="n">
        <v>-0.147297297297297</v>
      </c>
      <c r="H159" s="14" t="n">
        <v>0.3091044461486</v>
      </c>
      <c r="I159" s="14" t="n">
        <v>0.224274048346113</v>
      </c>
      <c r="J159" s="14" t="n">
        <v>0.466621505505287</v>
      </c>
      <c r="K159" s="12" t="s">
        <v>65</v>
      </c>
      <c r="L159" s="15" t="n">
        <v>953</v>
      </c>
      <c r="M159" s="15" t="n">
        <v>4</v>
      </c>
    </row>
    <row r="160" customFormat="false" ht="15" hidden="false" customHeight="false" outlineLevel="0" collapsed="false">
      <c r="A160" s="12" t="s">
        <v>41</v>
      </c>
      <c r="B160" s="7" t="s">
        <v>42</v>
      </c>
      <c r="C160" s="12" t="s">
        <v>71</v>
      </c>
      <c r="D160" s="7" t="s">
        <v>31</v>
      </c>
      <c r="E160" s="7" t="s">
        <v>32</v>
      </c>
      <c r="F160" s="12" t="n">
        <f aca="false">IF(D160=E160,1,0)</f>
        <v>0</v>
      </c>
      <c r="G160" s="13" t="n">
        <v>-0.0794392523364485</v>
      </c>
      <c r="H160" s="14" t="n">
        <v>0.309055872543481</v>
      </c>
      <c r="I160" s="14" t="n">
        <v>0.256464249847554</v>
      </c>
      <c r="J160" s="14" t="n">
        <v>0.434479877608965</v>
      </c>
      <c r="K160" s="12" t="s">
        <v>65</v>
      </c>
      <c r="L160" s="15" t="n">
        <v>953</v>
      </c>
      <c r="M160" s="15" t="n">
        <v>4</v>
      </c>
    </row>
    <row r="161" customFormat="false" ht="15" hidden="false" customHeight="false" outlineLevel="0" collapsed="false">
      <c r="A161" s="12" t="s">
        <v>43</v>
      </c>
      <c r="B161" s="7" t="s">
        <v>44</v>
      </c>
      <c r="C161" s="12" t="s">
        <v>71</v>
      </c>
      <c r="D161" s="7" t="s">
        <v>31</v>
      </c>
      <c r="E161" s="7" t="s">
        <v>31</v>
      </c>
      <c r="F161" s="12" t="n">
        <f aca="false">IF(D161=E161,1,0)</f>
        <v>1</v>
      </c>
      <c r="G161" s="13" t="n">
        <v>0.0183246073298428</v>
      </c>
      <c r="H161" s="14" t="n">
        <v>0.316456877651879</v>
      </c>
      <c r="I161" s="14" t="n">
        <v>0.242825016716767</v>
      </c>
      <c r="J161" s="14" t="n">
        <v>0.440718105631354</v>
      </c>
      <c r="K161" s="12" t="s">
        <v>65</v>
      </c>
      <c r="L161" s="15" t="n">
        <v>953</v>
      </c>
      <c r="M161" s="15" t="n">
        <v>4</v>
      </c>
    </row>
    <row r="162" customFormat="false" ht="15" hidden="false" customHeight="false" outlineLevel="0" collapsed="false">
      <c r="A162" s="12" t="s">
        <v>28</v>
      </c>
      <c r="B162" s="7" t="s">
        <v>29</v>
      </c>
      <c r="C162" s="12" t="s">
        <v>72</v>
      </c>
      <c r="D162" s="7" t="s">
        <v>31</v>
      </c>
      <c r="E162" s="7" t="s">
        <v>32</v>
      </c>
      <c r="F162" s="12" t="n">
        <f aca="false">IF(D162=E162,1,0)</f>
        <v>0</v>
      </c>
      <c r="G162" s="13" t="n">
        <v>-0.115473441108545</v>
      </c>
      <c r="H162" s="14" t="n">
        <v>0.314741372515111</v>
      </c>
      <c r="I162" s="14" t="n">
        <v>0.233231735271642</v>
      </c>
      <c r="J162" s="14" t="n">
        <v>0.452026892213247</v>
      </c>
      <c r="K162" s="12" t="s">
        <v>65</v>
      </c>
      <c r="L162" s="15" t="n">
        <v>953</v>
      </c>
      <c r="M162" s="15" t="n">
        <v>4</v>
      </c>
    </row>
    <row r="163" customFormat="false" ht="15" hidden="false" customHeight="false" outlineLevel="0" collapsed="false">
      <c r="A163" s="12" t="s">
        <v>34</v>
      </c>
      <c r="B163" s="7" t="s">
        <v>35</v>
      </c>
      <c r="C163" s="12" t="s">
        <v>72</v>
      </c>
      <c r="D163" s="7" t="s">
        <v>31</v>
      </c>
      <c r="E163" s="7" t="s">
        <v>32</v>
      </c>
      <c r="F163" s="12" t="n">
        <f aca="false">IF(D163=E163,1,0)</f>
        <v>0</v>
      </c>
      <c r="G163" s="13" t="n">
        <v>-0.043824701195219</v>
      </c>
      <c r="H163" s="14" t="n">
        <v>0.318218561147309</v>
      </c>
      <c r="I163" s="14" t="n">
        <v>0.23316016328714</v>
      </c>
      <c r="J163" s="14" t="n">
        <v>0.448621275565551</v>
      </c>
      <c r="K163" s="12" t="s">
        <v>65</v>
      </c>
      <c r="L163" s="15" t="n">
        <v>953</v>
      </c>
      <c r="M163" s="15" t="n">
        <v>4</v>
      </c>
    </row>
    <row r="164" customFormat="false" ht="15" hidden="false" customHeight="false" outlineLevel="0" collapsed="false">
      <c r="A164" s="12" t="s">
        <v>36</v>
      </c>
      <c r="B164" s="7" t="s">
        <v>37</v>
      </c>
      <c r="C164" s="12" t="s">
        <v>72</v>
      </c>
      <c r="D164" s="7" t="s">
        <v>31</v>
      </c>
      <c r="E164" s="7" t="s">
        <v>32</v>
      </c>
      <c r="F164" s="12" t="n">
        <f aca="false">IF(D164=E164,1,0)</f>
        <v>0</v>
      </c>
      <c r="G164" s="13" t="n">
        <v>-0.0157657657657657</v>
      </c>
      <c r="H164" s="14" t="n">
        <v>0.353370225572654</v>
      </c>
      <c r="I164" s="14" t="n">
        <v>0.235678888980983</v>
      </c>
      <c r="J164" s="14" t="n">
        <v>0.410950885446364</v>
      </c>
      <c r="K164" s="12" t="s">
        <v>65</v>
      </c>
      <c r="L164" s="15" t="n">
        <v>953</v>
      </c>
      <c r="M164" s="15" t="n">
        <v>4</v>
      </c>
    </row>
    <row r="165" customFormat="false" ht="15" hidden="false" customHeight="false" outlineLevel="0" collapsed="false">
      <c r="A165" s="12" t="s">
        <v>38</v>
      </c>
      <c r="B165" s="7" t="s">
        <v>39</v>
      </c>
      <c r="C165" s="12" t="s">
        <v>72</v>
      </c>
      <c r="D165" s="7" t="s">
        <v>31</v>
      </c>
      <c r="E165" s="7" t="s">
        <v>32</v>
      </c>
      <c r="F165" s="12" t="n">
        <f aca="false">IF(D165=E165,1,0)</f>
        <v>0</v>
      </c>
      <c r="G165" s="13" t="n">
        <v>-0.0758226037195994</v>
      </c>
      <c r="H165" s="14" t="n">
        <v>0.310472141763871</v>
      </c>
      <c r="I165" s="14" t="n">
        <v>0.220850286650892</v>
      </c>
      <c r="J165" s="14" t="n">
        <v>0.468677571585237</v>
      </c>
      <c r="K165" s="12" t="s">
        <v>65</v>
      </c>
      <c r="L165" s="15" t="n">
        <v>953</v>
      </c>
      <c r="M165" s="15" t="n">
        <v>4</v>
      </c>
    </row>
    <row r="166" customFormat="false" ht="15" hidden="false" customHeight="false" outlineLevel="0" collapsed="false">
      <c r="A166" s="12" t="s">
        <v>41</v>
      </c>
      <c r="B166" s="7" t="s">
        <v>42</v>
      </c>
      <c r="C166" s="12" t="s">
        <v>72</v>
      </c>
      <c r="D166" s="7" t="s">
        <v>31</v>
      </c>
      <c r="E166" s="7" t="s">
        <v>40</v>
      </c>
      <c r="F166" s="12" t="n">
        <f aca="false">IF(D166=E166,1,0)</f>
        <v>0</v>
      </c>
      <c r="G166" s="13" t="n">
        <v>0.0119047619047618</v>
      </c>
      <c r="H166" s="14" t="n">
        <v>0.305594327298028</v>
      </c>
      <c r="I166" s="14" t="n">
        <v>0.275990493079315</v>
      </c>
      <c r="J166" s="14" t="n">
        <v>0.418415179622656</v>
      </c>
      <c r="K166" s="12" t="s">
        <v>65</v>
      </c>
      <c r="L166" s="15" t="n">
        <v>953</v>
      </c>
      <c r="M166" s="15" t="n">
        <v>4</v>
      </c>
    </row>
    <row r="167" customFormat="false" ht="15" hidden="false" customHeight="false" outlineLevel="0" collapsed="false">
      <c r="A167" s="12" t="s">
        <v>43</v>
      </c>
      <c r="B167" s="7" t="s">
        <v>44</v>
      </c>
      <c r="C167" s="12" t="s">
        <v>72</v>
      </c>
      <c r="D167" s="7" t="s">
        <v>31</v>
      </c>
      <c r="E167" s="7" t="s">
        <v>40</v>
      </c>
      <c r="F167" s="12" t="n">
        <f aca="false">IF(D167=E167,1,0)</f>
        <v>0</v>
      </c>
      <c r="G167" s="13" t="n">
        <v>0.0077619663648125</v>
      </c>
      <c r="H167" s="14" t="n">
        <v>0.317825739815639</v>
      </c>
      <c r="I167" s="14" t="n">
        <v>0.246501213398796</v>
      </c>
      <c r="J167" s="14" t="n">
        <v>0.435673046785566</v>
      </c>
      <c r="K167" s="12" t="s">
        <v>65</v>
      </c>
      <c r="L167" s="15" t="n">
        <v>953</v>
      </c>
      <c r="M167" s="15" t="n">
        <v>4</v>
      </c>
    </row>
    <row r="168" customFormat="false" ht="15" hidden="false" customHeight="false" outlineLevel="0" collapsed="false">
      <c r="A168" s="12" t="s">
        <v>28</v>
      </c>
      <c r="B168" s="7" t="s">
        <v>29</v>
      </c>
      <c r="C168" s="12" t="s">
        <v>73</v>
      </c>
      <c r="D168" s="7" t="s">
        <v>31</v>
      </c>
      <c r="E168" s="7" t="s">
        <v>32</v>
      </c>
      <c r="F168" s="12" t="n">
        <f aca="false">IF(D168=E168,1,0)</f>
        <v>0</v>
      </c>
      <c r="G168" s="13" t="n">
        <v>-0.0580046403712296</v>
      </c>
      <c r="H168" s="14" t="n">
        <v>0.312371360443167</v>
      </c>
      <c r="I168" s="14" t="n">
        <v>0.234038382581116</v>
      </c>
      <c r="J168" s="14" t="n">
        <v>0.453590256975718</v>
      </c>
      <c r="K168" s="12" t="s">
        <v>65</v>
      </c>
      <c r="L168" s="15" t="n">
        <v>953</v>
      </c>
      <c r="M168" s="15" t="n">
        <v>4</v>
      </c>
    </row>
    <row r="169" customFormat="false" ht="15" hidden="false" customHeight="false" outlineLevel="0" collapsed="false">
      <c r="A169" s="12" t="s">
        <v>34</v>
      </c>
      <c r="B169" s="7" t="s">
        <v>35</v>
      </c>
      <c r="C169" s="12" t="s">
        <v>73</v>
      </c>
      <c r="D169" s="7" t="s">
        <v>31</v>
      </c>
      <c r="E169" s="7" t="s">
        <v>31</v>
      </c>
      <c r="F169" s="12" t="n">
        <f aca="false">IF(D169=E169,1,0)</f>
        <v>1</v>
      </c>
      <c r="G169" s="13" t="n">
        <v>0.0122699386503066</v>
      </c>
      <c r="H169" s="14" t="n">
        <v>0.313283942626913</v>
      </c>
      <c r="I169" s="14" t="n">
        <v>0.231800652065429</v>
      </c>
      <c r="J169" s="14" t="n">
        <v>0.454915405307658</v>
      </c>
      <c r="K169" s="12" t="s">
        <v>65</v>
      </c>
      <c r="L169" s="15" t="n">
        <v>953</v>
      </c>
      <c r="M169" s="15" t="n">
        <v>4</v>
      </c>
    </row>
    <row r="170" customFormat="false" ht="15" hidden="false" customHeight="false" outlineLevel="0" collapsed="false">
      <c r="A170" s="12" t="s">
        <v>36</v>
      </c>
      <c r="B170" s="7" t="s">
        <v>37</v>
      </c>
      <c r="C170" s="12" t="s">
        <v>73</v>
      </c>
      <c r="D170" s="7" t="s">
        <v>31</v>
      </c>
      <c r="E170" s="7" t="s">
        <v>32</v>
      </c>
      <c r="F170" s="12" t="n">
        <f aca="false">IF(D170=E170,1,0)</f>
        <v>0</v>
      </c>
      <c r="G170" s="13" t="n">
        <v>-0.0176211453744493</v>
      </c>
      <c r="H170" s="14" t="n">
        <v>0.364077235754992</v>
      </c>
      <c r="I170" s="14" t="n">
        <v>0.223269638368784</v>
      </c>
      <c r="J170" s="14" t="n">
        <v>0.412653125876224</v>
      </c>
      <c r="K170" s="12" t="s">
        <v>65</v>
      </c>
      <c r="L170" s="15" t="n">
        <v>953</v>
      </c>
      <c r="M170" s="15" t="n">
        <v>4</v>
      </c>
    </row>
    <row r="171" customFormat="false" ht="15" hidden="false" customHeight="false" outlineLevel="0" collapsed="false">
      <c r="A171" s="12" t="s">
        <v>38</v>
      </c>
      <c r="B171" s="7" t="s">
        <v>39</v>
      </c>
      <c r="C171" s="12" t="s">
        <v>73</v>
      </c>
      <c r="D171" s="7" t="s">
        <v>31</v>
      </c>
      <c r="E171" s="7" t="s">
        <v>31</v>
      </c>
      <c r="F171" s="12" t="n">
        <f aca="false">IF(D171=E171,1,0)</f>
        <v>1</v>
      </c>
      <c r="G171" s="13" t="n">
        <v>0.0425844346549193</v>
      </c>
      <c r="H171" s="14" t="n">
        <v>0.302665731482916</v>
      </c>
      <c r="I171" s="14" t="n">
        <v>0.222091000931482</v>
      </c>
      <c r="J171" s="14" t="n">
        <v>0.475243267585602</v>
      </c>
      <c r="K171" s="12" t="s">
        <v>65</v>
      </c>
      <c r="L171" s="15" t="n">
        <v>953</v>
      </c>
      <c r="M171" s="15" t="n">
        <v>4</v>
      </c>
    </row>
    <row r="172" customFormat="false" ht="15" hidden="false" customHeight="false" outlineLevel="0" collapsed="false">
      <c r="A172" s="12" t="s">
        <v>41</v>
      </c>
      <c r="B172" s="7" t="s">
        <v>42</v>
      </c>
      <c r="C172" s="12" t="s">
        <v>73</v>
      </c>
      <c r="D172" s="7" t="s">
        <v>31</v>
      </c>
      <c r="E172" s="7" t="s">
        <v>40</v>
      </c>
      <c r="F172" s="12" t="n">
        <f aca="false">IF(D172=E172,1,0)</f>
        <v>0</v>
      </c>
      <c r="G172" s="13" t="n">
        <v>0.0023640661938533</v>
      </c>
      <c r="H172" s="14" t="n">
        <v>0.302700267397955</v>
      </c>
      <c r="I172" s="14" t="n">
        <v>0.281598010050392</v>
      </c>
      <c r="J172" s="14" t="n">
        <v>0.415701722551653</v>
      </c>
      <c r="K172" s="12" t="s">
        <v>65</v>
      </c>
      <c r="L172" s="15" t="n">
        <v>953</v>
      </c>
      <c r="M172" s="15" t="n">
        <v>4</v>
      </c>
    </row>
    <row r="173" customFormat="false" ht="15" hidden="false" customHeight="false" outlineLevel="0" collapsed="false">
      <c r="A173" s="12" t="s">
        <v>43</v>
      </c>
      <c r="B173" s="7" t="s">
        <v>44</v>
      </c>
      <c r="C173" s="12" t="s">
        <v>73</v>
      </c>
      <c r="D173" s="7" t="s">
        <v>31</v>
      </c>
      <c r="E173" s="7" t="s">
        <v>31</v>
      </c>
      <c r="F173" s="12" t="n">
        <f aca="false">IF(D173=E173,1,0)</f>
        <v>1</v>
      </c>
      <c r="G173" s="13" t="n">
        <v>0.0260756192959583</v>
      </c>
      <c r="H173" s="14" t="n">
        <v>0.319868742100365</v>
      </c>
      <c r="I173" s="14" t="n">
        <v>0.247775510453365</v>
      </c>
      <c r="J173" s="14" t="n">
        <v>0.43235574744627</v>
      </c>
      <c r="K173" s="12" t="s">
        <v>65</v>
      </c>
      <c r="L173" s="15" t="n">
        <v>953</v>
      </c>
      <c r="M173" s="15" t="n">
        <v>4</v>
      </c>
    </row>
    <row r="174" customFormat="false" ht="15" hidden="false" customHeight="false" outlineLevel="0" collapsed="false">
      <c r="A174" s="12" t="s">
        <v>28</v>
      </c>
      <c r="B174" s="7" t="s">
        <v>29</v>
      </c>
      <c r="C174" s="12" t="s">
        <v>74</v>
      </c>
      <c r="D174" s="7" t="s">
        <v>31</v>
      </c>
      <c r="E174" s="7" t="s">
        <v>40</v>
      </c>
      <c r="F174" s="12" t="n">
        <f aca="false">IF(D174=E174,1,0)</f>
        <v>0</v>
      </c>
      <c r="G174" s="13" t="n">
        <v>0.0096385542168675</v>
      </c>
      <c r="H174" s="14" t="n">
        <v>0.315351256714495</v>
      </c>
      <c r="I174" s="14" t="n">
        <v>0.25352125844054</v>
      </c>
      <c r="J174" s="14" t="n">
        <v>0.431127484844965</v>
      </c>
      <c r="K174" s="12" t="s">
        <v>65</v>
      </c>
      <c r="L174" s="15" t="n">
        <v>953</v>
      </c>
      <c r="M174" s="15" t="n">
        <v>4</v>
      </c>
    </row>
    <row r="175" customFormat="false" ht="15" hidden="false" customHeight="false" outlineLevel="0" collapsed="false">
      <c r="A175" s="12" t="s">
        <v>34</v>
      </c>
      <c r="B175" s="7" t="s">
        <v>35</v>
      </c>
      <c r="C175" s="12" t="s">
        <v>74</v>
      </c>
      <c r="D175" s="7" t="s">
        <v>31</v>
      </c>
      <c r="E175" s="7" t="s">
        <v>40</v>
      </c>
      <c r="F175" s="12" t="n">
        <f aca="false">IF(D175=E175,1,0)</f>
        <v>0</v>
      </c>
      <c r="G175" s="13" t="n">
        <v>0.0060362173038228</v>
      </c>
      <c r="H175" s="14" t="n">
        <v>0.302501632659783</v>
      </c>
      <c r="I175" s="14" t="n">
        <v>0.24354656828464</v>
      </c>
      <c r="J175" s="14" t="n">
        <v>0.453951799055578</v>
      </c>
      <c r="K175" s="12" t="s">
        <v>65</v>
      </c>
      <c r="L175" s="15" t="n">
        <v>953</v>
      </c>
      <c r="M175" s="15" t="n">
        <v>4</v>
      </c>
    </row>
    <row r="176" customFormat="false" ht="15" hidden="false" customHeight="false" outlineLevel="0" collapsed="false">
      <c r="A176" s="12" t="s">
        <v>36</v>
      </c>
      <c r="B176" s="7" t="s">
        <v>37</v>
      </c>
      <c r="C176" s="12" t="s">
        <v>74</v>
      </c>
      <c r="D176" s="7" t="s">
        <v>31</v>
      </c>
      <c r="E176" s="7" t="s">
        <v>40</v>
      </c>
      <c r="F176" s="12" t="n">
        <f aca="false">IF(D176=E176,1,0)</f>
        <v>0</v>
      </c>
      <c r="G176" s="13" t="n">
        <v>-0.0044150110375276</v>
      </c>
      <c r="H176" s="14" t="n">
        <v>0.354547931172643</v>
      </c>
      <c r="I176" s="14" t="n">
        <v>0.227838074555614</v>
      </c>
      <c r="J176" s="14" t="n">
        <v>0.417613994271743</v>
      </c>
      <c r="K176" s="12" t="s">
        <v>65</v>
      </c>
      <c r="L176" s="15" t="n">
        <v>953</v>
      </c>
      <c r="M176" s="15" t="n">
        <v>4</v>
      </c>
    </row>
    <row r="177" customFormat="false" ht="15" hidden="false" customHeight="false" outlineLevel="0" collapsed="false">
      <c r="A177" s="12" t="s">
        <v>38</v>
      </c>
      <c r="B177" s="7" t="s">
        <v>39</v>
      </c>
      <c r="C177" s="12" t="s">
        <v>74</v>
      </c>
      <c r="D177" s="7" t="s">
        <v>31</v>
      </c>
      <c r="E177" s="7" t="s">
        <v>31</v>
      </c>
      <c r="F177" s="12" t="n">
        <f aca="false">IF(D177=E177,1,0)</f>
        <v>1</v>
      </c>
      <c r="G177" s="13" t="n">
        <v>0.184049079754601</v>
      </c>
      <c r="H177" s="14" t="n">
        <v>0.309035281978278</v>
      </c>
      <c r="I177" s="14" t="n">
        <v>0.224456178257486</v>
      </c>
      <c r="J177" s="14" t="n">
        <v>0.466508539764236</v>
      </c>
      <c r="K177" s="12" t="s">
        <v>65</v>
      </c>
      <c r="L177" s="15" t="n">
        <v>953</v>
      </c>
      <c r="M177" s="15" t="n">
        <v>4</v>
      </c>
    </row>
    <row r="178" customFormat="false" ht="15" hidden="false" customHeight="false" outlineLevel="0" collapsed="false">
      <c r="A178" s="12" t="s">
        <v>41</v>
      </c>
      <c r="B178" s="7" t="s">
        <v>42</v>
      </c>
      <c r="C178" s="12" t="s">
        <v>74</v>
      </c>
      <c r="D178" s="7" t="s">
        <v>31</v>
      </c>
      <c r="E178" s="7" t="s">
        <v>31</v>
      </c>
      <c r="F178" s="12" t="n">
        <f aca="false">IF(D178=E178,1,0)</f>
        <v>1</v>
      </c>
      <c r="G178" s="13" t="n">
        <v>0.0922693266832916</v>
      </c>
      <c r="H178" s="14" t="n">
        <v>0.317141104996672</v>
      </c>
      <c r="I178" s="14" t="n">
        <v>0.241187890571176</v>
      </c>
      <c r="J178" s="14" t="n">
        <v>0.441671004432151</v>
      </c>
      <c r="K178" s="12" t="s">
        <v>65</v>
      </c>
      <c r="L178" s="15" t="n">
        <v>953</v>
      </c>
      <c r="M178" s="15" t="n">
        <v>4</v>
      </c>
    </row>
    <row r="179" customFormat="false" ht="15" hidden="false" customHeight="false" outlineLevel="0" collapsed="false">
      <c r="A179" s="12" t="s">
        <v>43</v>
      </c>
      <c r="B179" s="7" t="s">
        <v>44</v>
      </c>
      <c r="C179" s="12" t="s">
        <v>74</v>
      </c>
      <c r="D179" s="7" t="s">
        <v>31</v>
      </c>
      <c r="E179" s="7" t="s">
        <v>31</v>
      </c>
      <c r="F179" s="12" t="n">
        <f aca="false">IF(D179=E179,1,0)</f>
        <v>1</v>
      </c>
      <c r="G179" s="13" t="n">
        <v>0.0231065468549422</v>
      </c>
      <c r="H179" s="14" t="n">
        <v>0.31600364026206</v>
      </c>
      <c r="I179" s="14" t="n">
        <v>0.243893281921225</v>
      </c>
      <c r="J179" s="14" t="n">
        <v>0.440103077816715</v>
      </c>
      <c r="K179" s="12" t="s">
        <v>65</v>
      </c>
      <c r="L179" s="15" t="n">
        <v>953</v>
      </c>
      <c r="M179" s="15" t="n">
        <v>4</v>
      </c>
    </row>
    <row r="180" customFormat="false" ht="15" hidden="false" customHeight="false" outlineLevel="0" collapsed="false">
      <c r="A180" s="12" t="s">
        <v>28</v>
      </c>
      <c r="B180" s="7" t="s">
        <v>29</v>
      </c>
      <c r="C180" s="12" t="s">
        <v>75</v>
      </c>
      <c r="D180" s="7" t="s">
        <v>31</v>
      </c>
      <c r="E180" s="7" t="s">
        <v>31</v>
      </c>
      <c r="F180" s="12" t="n">
        <f aca="false">IF(D180=E180,1,0)</f>
        <v>1</v>
      </c>
      <c r="G180" s="13" t="n">
        <v>0.133663366336634</v>
      </c>
      <c r="H180" s="14" t="n">
        <v>0.324693867268084</v>
      </c>
      <c r="I180" s="14" t="n">
        <v>0.24122691838798</v>
      </c>
      <c r="J180" s="14" t="n">
        <v>0.434079214343936</v>
      </c>
      <c r="K180" s="12" t="s">
        <v>65</v>
      </c>
      <c r="L180" s="15" t="n">
        <v>953</v>
      </c>
      <c r="M180" s="15" t="n">
        <v>4</v>
      </c>
    </row>
    <row r="181" customFormat="false" ht="15" hidden="false" customHeight="false" outlineLevel="0" collapsed="false">
      <c r="A181" s="12" t="s">
        <v>34</v>
      </c>
      <c r="B181" s="7" t="s">
        <v>35</v>
      </c>
      <c r="C181" s="12" t="s">
        <v>75</v>
      </c>
      <c r="D181" s="7" t="s">
        <v>31</v>
      </c>
      <c r="E181" s="7" t="s">
        <v>31</v>
      </c>
      <c r="F181" s="12" t="n">
        <f aca="false">IF(D181=E181,1,0)</f>
        <v>1</v>
      </c>
      <c r="G181" s="13" t="n">
        <v>0.0503018108651911</v>
      </c>
      <c r="H181" s="14" t="n">
        <v>0.326658511268275</v>
      </c>
      <c r="I181" s="14" t="n">
        <v>0.2302738128584</v>
      </c>
      <c r="J181" s="14" t="n">
        <v>0.443067675873325</v>
      </c>
      <c r="K181" s="12" t="s">
        <v>65</v>
      </c>
      <c r="L181" s="15" t="n">
        <v>953</v>
      </c>
      <c r="M181" s="15" t="n">
        <v>4</v>
      </c>
    </row>
    <row r="182" customFormat="false" ht="15" hidden="false" customHeight="false" outlineLevel="0" collapsed="false">
      <c r="A182" s="12" t="s">
        <v>36</v>
      </c>
      <c r="B182" s="7" t="s">
        <v>37</v>
      </c>
      <c r="C182" s="12" t="s">
        <v>75</v>
      </c>
      <c r="D182" s="7" t="s">
        <v>31</v>
      </c>
      <c r="E182" s="7" t="s">
        <v>31</v>
      </c>
      <c r="F182" s="12" t="n">
        <f aca="false">IF(D182=E182,1,0)</f>
        <v>1</v>
      </c>
      <c r="G182" s="13" t="n">
        <v>0.03125</v>
      </c>
      <c r="H182" s="14" t="n">
        <v>0.366785515066731</v>
      </c>
      <c r="I182" s="14" t="n">
        <v>0.229665885343059</v>
      </c>
      <c r="J182" s="14" t="n">
        <v>0.40354859959021</v>
      </c>
      <c r="K182" s="12" t="s">
        <v>65</v>
      </c>
      <c r="L182" s="15" t="n">
        <v>953</v>
      </c>
      <c r="M182" s="15" t="n">
        <v>4</v>
      </c>
    </row>
    <row r="183" customFormat="false" ht="15" hidden="false" customHeight="false" outlineLevel="0" collapsed="false">
      <c r="A183" s="12" t="s">
        <v>38</v>
      </c>
      <c r="B183" s="7" t="s">
        <v>39</v>
      </c>
      <c r="C183" s="12" t="s">
        <v>75</v>
      </c>
      <c r="D183" s="7" t="s">
        <v>31</v>
      </c>
      <c r="E183" s="7" t="s">
        <v>31</v>
      </c>
      <c r="F183" s="12" t="n">
        <f aca="false">IF(D183=E183,1,0)</f>
        <v>1</v>
      </c>
      <c r="G183" s="13" t="n">
        <v>0.248529411764706</v>
      </c>
      <c r="H183" s="14" t="n">
        <v>0.315222349716163</v>
      </c>
      <c r="I183" s="14" t="n">
        <v>0.222446342526594</v>
      </c>
      <c r="J183" s="14" t="n">
        <v>0.462331307757243</v>
      </c>
      <c r="K183" s="12" t="s">
        <v>65</v>
      </c>
      <c r="L183" s="15" t="n">
        <v>953</v>
      </c>
      <c r="M183" s="15" t="n">
        <v>4</v>
      </c>
    </row>
    <row r="184" customFormat="false" ht="15" hidden="false" customHeight="false" outlineLevel="0" collapsed="false">
      <c r="A184" s="12" t="s">
        <v>41</v>
      </c>
      <c r="B184" s="7" t="s">
        <v>42</v>
      </c>
      <c r="C184" s="12" t="s">
        <v>75</v>
      </c>
      <c r="D184" s="7" t="s">
        <v>31</v>
      </c>
      <c r="E184" s="7" t="s">
        <v>31</v>
      </c>
      <c r="F184" s="12" t="n">
        <f aca="false">IF(D184=E184,1,0)</f>
        <v>1</v>
      </c>
      <c r="G184" s="13" t="n">
        <v>0.0835443037974683</v>
      </c>
      <c r="H184" s="14" t="n">
        <v>0.307249890927882</v>
      </c>
      <c r="I184" s="14" t="n">
        <v>0.252016149068808</v>
      </c>
      <c r="J184" s="14" t="n">
        <v>0.440733960003311</v>
      </c>
      <c r="K184" s="12" t="s">
        <v>65</v>
      </c>
      <c r="L184" s="15" t="n">
        <v>953</v>
      </c>
      <c r="M184" s="15" t="n">
        <v>4</v>
      </c>
    </row>
    <row r="185" customFormat="false" ht="15" hidden="false" customHeight="false" outlineLevel="0" collapsed="false">
      <c r="A185" s="12" t="s">
        <v>43</v>
      </c>
      <c r="B185" s="7" t="s">
        <v>44</v>
      </c>
      <c r="C185" s="12" t="s">
        <v>75</v>
      </c>
      <c r="D185" s="7" t="s">
        <v>31</v>
      </c>
      <c r="E185" s="7" t="s">
        <v>31</v>
      </c>
      <c r="F185" s="12" t="n">
        <f aca="false">IF(D185=E185,1,0)</f>
        <v>1</v>
      </c>
      <c r="G185" s="13" t="n">
        <v>0.0611979166666667</v>
      </c>
      <c r="H185" s="14" t="n">
        <v>0.321797536103002</v>
      </c>
      <c r="I185" s="14" t="n">
        <v>0.254665731409151</v>
      </c>
      <c r="J185" s="14" t="n">
        <v>0.423536732487847</v>
      </c>
      <c r="K185" s="12" t="s">
        <v>65</v>
      </c>
      <c r="L185" s="15" t="n">
        <v>953</v>
      </c>
      <c r="M185" s="15" t="n">
        <v>4</v>
      </c>
    </row>
    <row r="186" customFormat="false" ht="15" hidden="false" customHeight="false" outlineLevel="0" collapsed="false">
      <c r="A186" s="12" t="s">
        <v>28</v>
      </c>
      <c r="B186" s="7" t="s">
        <v>29</v>
      </c>
      <c r="C186" s="12" t="s">
        <v>76</v>
      </c>
      <c r="D186" s="7" t="s">
        <v>31</v>
      </c>
      <c r="E186" s="7" t="s">
        <v>31</v>
      </c>
      <c r="F186" s="12" t="n">
        <f aca="false">IF(D186=E186,1,0)</f>
        <v>1</v>
      </c>
      <c r="G186" s="13" t="n">
        <v>0.227154046997389</v>
      </c>
      <c r="H186" s="14" t="n">
        <v>0.321428246137605</v>
      </c>
      <c r="I186" s="14" t="n">
        <v>0.246584085627174</v>
      </c>
      <c r="J186" s="14" t="n">
        <v>0.431987668235221</v>
      </c>
      <c r="K186" s="12" t="s">
        <v>65</v>
      </c>
      <c r="L186" s="15" t="n">
        <v>953</v>
      </c>
      <c r="M186" s="15" t="n">
        <v>4</v>
      </c>
    </row>
    <row r="187" customFormat="false" ht="15" hidden="false" customHeight="false" outlineLevel="0" collapsed="false">
      <c r="A187" s="12" t="s">
        <v>34</v>
      </c>
      <c r="B187" s="7" t="s">
        <v>35</v>
      </c>
      <c r="C187" s="12" t="s">
        <v>76</v>
      </c>
      <c r="D187" s="7" t="s">
        <v>31</v>
      </c>
      <c r="E187" s="7" t="s">
        <v>31</v>
      </c>
      <c r="F187" s="12" t="n">
        <f aca="false">IF(D187=E187,1,0)</f>
        <v>1</v>
      </c>
      <c r="G187" s="13" t="n">
        <v>0.0571428571428571</v>
      </c>
      <c r="H187" s="14" t="n">
        <v>0.310302475813012</v>
      </c>
      <c r="I187" s="14" t="n">
        <v>0.239111466795104</v>
      </c>
      <c r="J187" s="14" t="n">
        <v>0.450586057391884</v>
      </c>
      <c r="K187" s="12" t="s">
        <v>65</v>
      </c>
      <c r="L187" s="15" t="n">
        <v>953</v>
      </c>
      <c r="M187" s="15" t="n">
        <v>4</v>
      </c>
    </row>
    <row r="188" customFormat="false" ht="15" hidden="false" customHeight="false" outlineLevel="0" collapsed="false">
      <c r="A188" s="12" t="s">
        <v>36</v>
      </c>
      <c r="B188" s="7" t="s">
        <v>37</v>
      </c>
      <c r="C188" s="12" t="s">
        <v>76</v>
      </c>
      <c r="D188" s="7" t="s">
        <v>31</v>
      </c>
      <c r="E188" s="7" t="s">
        <v>31</v>
      </c>
      <c r="F188" s="12" t="n">
        <f aca="false">IF(D188=E188,1,0)</f>
        <v>1</v>
      </c>
      <c r="G188" s="13" t="n">
        <v>0.0294784580498865</v>
      </c>
      <c r="H188" s="14" t="n">
        <v>0.343938678210758</v>
      </c>
      <c r="I188" s="14" t="n">
        <v>0.228714875172522</v>
      </c>
      <c r="J188" s="14" t="n">
        <v>0.42734644661672</v>
      </c>
      <c r="K188" s="12" t="s">
        <v>65</v>
      </c>
      <c r="L188" s="15" t="n">
        <v>953</v>
      </c>
      <c r="M188" s="15" t="n">
        <v>4</v>
      </c>
    </row>
    <row r="189" customFormat="false" ht="15" hidden="false" customHeight="false" outlineLevel="0" collapsed="false">
      <c r="A189" s="12" t="s">
        <v>38</v>
      </c>
      <c r="B189" s="7" t="s">
        <v>39</v>
      </c>
      <c r="C189" s="12" t="s">
        <v>76</v>
      </c>
      <c r="D189" s="7" t="s">
        <v>31</v>
      </c>
      <c r="E189" s="7" t="s">
        <v>31</v>
      </c>
      <c r="F189" s="12" t="n">
        <f aca="false">IF(D189=E189,1,0)</f>
        <v>1</v>
      </c>
      <c r="G189" s="13" t="n">
        <v>0.351822503961965</v>
      </c>
      <c r="H189" s="14" t="n">
        <v>0.300690851364754</v>
      </c>
      <c r="I189" s="14" t="n">
        <v>0.227166821733768</v>
      </c>
      <c r="J189" s="14" t="n">
        <v>0.472142326901478</v>
      </c>
      <c r="K189" s="12" t="s">
        <v>65</v>
      </c>
      <c r="L189" s="15" t="n">
        <v>953</v>
      </c>
      <c r="M189" s="15" t="n">
        <v>4</v>
      </c>
    </row>
    <row r="190" customFormat="false" ht="15" hidden="false" customHeight="false" outlineLevel="0" collapsed="false">
      <c r="A190" s="12" t="s">
        <v>41</v>
      </c>
      <c r="B190" s="7" t="s">
        <v>42</v>
      </c>
      <c r="C190" s="12" t="s">
        <v>76</v>
      </c>
      <c r="D190" s="7" t="s">
        <v>31</v>
      </c>
      <c r="E190" s="7" t="s">
        <v>31</v>
      </c>
      <c r="F190" s="12" t="n">
        <f aca="false">IF(D190=E190,1,0)</f>
        <v>1</v>
      </c>
      <c r="G190" s="13" t="n">
        <v>0.0736040609137056</v>
      </c>
      <c r="H190" s="14" t="n">
        <v>0.309695767451831</v>
      </c>
      <c r="I190" s="14" t="n">
        <v>0.246689251094832</v>
      </c>
      <c r="J190" s="14" t="n">
        <v>0.443614981453337</v>
      </c>
      <c r="K190" s="12" t="s">
        <v>65</v>
      </c>
      <c r="L190" s="15" t="n">
        <v>953</v>
      </c>
      <c r="M190" s="15" t="n">
        <v>4</v>
      </c>
    </row>
    <row r="191" customFormat="false" ht="15" hidden="false" customHeight="false" outlineLevel="0" collapsed="false">
      <c r="A191" s="12" t="s">
        <v>43</v>
      </c>
      <c r="B191" s="7" t="s">
        <v>44</v>
      </c>
      <c r="C191" s="12" t="s">
        <v>76</v>
      </c>
      <c r="D191" s="7" t="s">
        <v>31</v>
      </c>
      <c r="E191" s="7" t="s">
        <v>31</v>
      </c>
      <c r="F191" s="12" t="n">
        <f aca="false">IF(D191=E191,1,0)</f>
        <v>1</v>
      </c>
      <c r="G191" s="13" t="n">
        <v>0.0681233933161953</v>
      </c>
      <c r="H191" s="14" t="n">
        <v>0.31144906312085</v>
      </c>
      <c r="I191" s="14" t="n">
        <v>0.254791087945297</v>
      </c>
      <c r="J191" s="14" t="n">
        <v>0.433759848933852</v>
      </c>
      <c r="K191" s="12" t="s">
        <v>65</v>
      </c>
      <c r="L191" s="15" t="n">
        <v>953</v>
      </c>
      <c r="M191" s="15" t="n">
        <v>4</v>
      </c>
    </row>
    <row r="192" customFormat="false" ht="15" hidden="false" customHeight="false" outlineLevel="0" collapsed="false">
      <c r="A192" s="12" t="s">
        <v>28</v>
      </c>
      <c r="B192" s="7" t="s">
        <v>29</v>
      </c>
      <c r="C192" s="12" t="s">
        <v>77</v>
      </c>
      <c r="D192" s="7" t="s">
        <v>31</v>
      </c>
      <c r="E192" s="7" t="s">
        <v>31</v>
      </c>
      <c r="F192" s="12" t="n">
        <f aca="false">IF(D192=E192,1,0)</f>
        <v>1</v>
      </c>
      <c r="G192" s="13" t="n">
        <v>0.315926892950392</v>
      </c>
      <c r="H192" s="14" t="n">
        <v>0.328646508576195</v>
      </c>
      <c r="I192" s="14" t="n">
        <v>0.243961063620871</v>
      </c>
      <c r="J192" s="14" t="n">
        <v>0.427392427802935</v>
      </c>
      <c r="K192" s="12" t="s">
        <v>65</v>
      </c>
      <c r="L192" s="15" t="n">
        <v>953</v>
      </c>
      <c r="M192" s="15" t="n">
        <v>4</v>
      </c>
    </row>
    <row r="193" customFormat="false" ht="15" hidden="false" customHeight="false" outlineLevel="0" collapsed="false">
      <c r="A193" s="12" t="s">
        <v>34</v>
      </c>
      <c r="B193" s="7" t="s">
        <v>35</v>
      </c>
      <c r="C193" s="12" t="s">
        <v>77</v>
      </c>
      <c r="D193" s="7" t="s">
        <v>31</v>
      </c>
      <c r="E193" s="7" t="s">
        <v>31</v>
      </c>
      <c r="F193" s="12" t="n">
        <f aca="false">IF(D193=E193,1,0)</f>
        <v>1</v>
      </c>
      <c r="G193" s="13" t="n">
        <v>0.1</v>
      </c>
      <c r="H193" s="14" t="n">
        <v>0.32027349412157</v>
      </c>
      <c r="I193" s="14" t="n">
        <v>0.232618631851725</v>
      </c>
      <c r="J193" s="14" t="n">
        <v>0.447107874026705</v>
      </c>
      <c r="K193" s="12" t="s">
        <v>65</v>
      </c>
      <c r="L193" s="15" t="n">
        <v>953</v>
      </c>
      <c r="M193" s="15" t="n">
        <v>4</v>
      </c>
    </row>
    <row r="194" customFormat="false" ht="15" hidden="false" customHeight="false" outlineLevel="0" collapsed="false">
      <c r="A194" s="12" t="s">
        <v>36</v>
      </c>
      <c r="B194" s="7" t="s">
        <v>37</v>
      </c>
      <c r="C194" s="12" t="s">
        <v>77</v>
      </c>
      <c r="D194" s="7" t="s">
        <v>31</v>
      </c>
      <c r="E194" s="7" t="s">
        <v>31</v>
      </c>
      <c r="F194" s="12" t="n">
        <f aca="false">IF(D194=E194,1,0)</f>
        <v>1</v>
      </c>
      <c r="G194" s="13" t="n">
        <v>0.0526315789473683</v>
      </c>
      <c r="H194" s="14" t="n">
        <v>0.335061864706282</v>
      </c>
      <c r="I194" s="14" t="n">
        <v>0.248621197565477</v>
      </c>
      <c r="J194" s="14" t="n">
        <v>0.416316937728241</v>
      </c>
      <c r="K194" s="12" t="s">
        <v>65</v>
      </c>
      <c r="L194" s="15" t="n">
        <v>953</v>
      </c>
      <c r="M194" s="15" t="n">
        <v>4</v>
      </c>
    </row>
    <row r="195" customFormat="false" ht="15" hidden="false" customHeight="false" outlineLevel="0" collapsed="false">
      <c r="A195" s="12" t="s">
        <v>38</v>
      </c>
      <c r="B195" s="7" t="s">
        <v>39</v>
      </c>
      <c r="C195" s="12" t="s">
        <v>77</v>
      </c>
      <c r="D195" s="7" t="s">
        <v>31</v>
      </c>
      <c r="E195" s="7" t="s">
        <v>31</v>
      </c>
      <c r="F195" s="12" t="n">
        <f aca="false">IF(D195=E195,1,0)</f>
        <v>1</v>
      </c>
      <c r="G195" s="13" t="n">
        <v>0.436532507739938</v>
      </c>
      <c r="H195" s="14" t="n">
        <v>0.300690851364754</v>
      </c>
      <c r="I195" s="14" t="n">
        <v>0.227166821733768</v>
      </c>
      <c r="J195" s="14" t="n">
        <v>0.472142326901478</v>
      </c>
      <c r="K195" s="12" t="s">
        <v>65</v>
      </c>
      <c r="L195" s="15" t="n">
        <v>953</v>
      </c>
      <c r="M195" s="15" t="n">
        <v>4</v>
      </c>
    </row>
    <row r="196" customFormat="false" ht="15" hidden="false" customHeight="false" outlineLevel="0" collapsed="false">
      <c r="A196" s="12" t="s">
        <v>41</v>
      </c>
      <c r="B196" s="7" t="s">
        <v>42</v>
      </c>
      <c r="C196" s="12" t="s">
        <v>77</v>
      </c>
      <c r="D196" s="7" t="s">
        <v>31</v>
      </c>
      <c r="E196" s="7" t="s">
        <v>40</v>
      </c>
      <c r="F196" s="12" t="n">
        <f aca="false">IF(D196=E196,1,0)</f>
        <v>0</v>
      </c>
      <c r="G196" s="13" t="n">
        <v>-0.0047058823529412</v>
      </c>
      <c r="H196" s="14" t="n">
        <v>0.333953351018494</v>
      </c>
      <c r="I196" s="14" t="n">
        <v>0.234908984204072</v>
      </c>
      <c r="J196" s="14" t="n">
        <v>0.431137664777433</v>
      </c>
      <c r="K196" s="12" t="s">
        <v>65</v>
      </c>
      <c r="L196" s="15" t="n">
        <v>953</v>
      </c>
      <c r="M196" s="15" t="n">
        <v>4</v>
      </c>
    </row>
    <row r="197" customFormat="false" ht="15" hidden="false" customHeight="false" outlineLevel="0" collapsed="false">
      <c r="A197" s="12" t="s">
        <v>43</v>
      </c>
      <c r="B197" s="7" t="s">
        <v>44</v>
      </c>
      <c r="C197" s="12" t="s">
        <v>77</v>
      </c>
      <c r="D197" s="7" t="s">
        <v>31</v>
      </c>
      <c r="E197" s="7" t="s">
        <v>31</v>
      </c>
      <c r="F197" s="12" t="n">
        <f aca="false">IF(D197=E197,1,0)</f>
        <v>1</v>
      </c>
      <c r="G197" s="13" t="n">
        <v>0.0962772785622592</v>
      </c>
      <c r="H197" s="14" t="n">
        <v>0.329704397715866</v>
      </c>
      <c r="I197" s="14" t="n">
        <v>0.254813423657375</v>
      </c>
      <c r="J197" s="14" t="n">
        <v>0.415482178626759</v>
      </c>
      <c r="K197" s="12" t="s">
        <v>65</v>
      </c>
      <c r="L197" s="15" t="n">
        <v>953</v>
      </c>
      <c r="M197" s="15" t="n">
        <v>4</v>
      </c>
    </row>
    <row r="198" customFormat="false" ht="15" hidden="false" customHeight="false" outlineLevel="0" collapsed="false">
      <c r="A198" s="12" t="s">
        <v>28</v>
      </c>
      <c r="B198" s="7" t="s">
        <v>29</v>
      </c>
      <c r="C198" s="12" t="s">
        <v>78</v>
      </c>
      <c r="D198" s="7" t="s">
        <v>31</v>
      </c>
      <c r="E198" s="7" t="s">
        <v>31</v>
      </c>
      <c r="F198" s="12" t="n">
        <f aca="false">IF(D198=E198,1,0)</f>
        <v>1</v>
      </c>
      <c r="G198" s="13" t="n">
        <v>0.177339901477833</v>
      </c>
      <c r="H198" s="14" t="n">
        <v>0.333565336300005</v>
      </c>
      <c r="I198" s="14" t="n">
        <v>0.244054504684983</v>
      </c>
      <c r="J198" s="14" t="n">
        <v>0.422380159015012</v>
      </c>
      <c r="K198" s="12" t="s">
        <v>65</v>
      </c>
      <c r="L198" s="15" t="n">
        <v>953</v>
      </c>
      <c r="M198" s="15" t="n">
        <v>4</v>
      </c>
    </row>
    <row r="199" customFormat="false" ht="15" hidden="false" customHeight="false" outlineLevel="0" collapsed="false">
      <c r="A199" s="12" t="s">
        <v>34</v>
      </c>
      <c r="B199" s="7" t="s">
        <v>35</v>
      </c>
      <c r="C199" s="12" t="s">
        <v>78</v>
      </c>
      <c r="D199" s="7" t="s">
        <v>31</v>
      </c>
      <c r="E199" s="7" t="s">
        <v>31</v>
      </c>
      <c r="F199" s="12" t="n">
        <f aca="false">IF(D199=E199,1,0)</f>
        <v>1</v>
      </c>
      <c r="G199" s="13" t="n">
        <v>0.0626262626262625</v>
      </c>
      <c r="H199" s="14" t="n">
        <v>0.314207717194527</v>
      </c>
      <c r="I199" s="14" t="n">
        <v>0.234531818450595</v>
      </c>
      <c r="J199" s="14" t="n">
        <v>0.451260464354878</v>
      </c>
      <c r="K199" s="12" t="s">
        <v>65</v>
      </c>
      <c r="L199" s="15" t="n">
        <v>953</v>
      </c>
      <c r="M199" s="15" t="n">
        <v>4</v>
      </c>
    </row>
    <row r="200" customFormat="false" ht="15" hidden="false" customHeight="false" outlineLevel="0" collapsed="false">
      <c r="A200" s="12" t="s">
        <v>36</v>
      </c>
      <c r="B200" s="7" t="s">
        <v>37</v>
      </c>
      <c r="C200" s="12" t="s">
        <v>78</v>
      </c>
      <c r="D200" s="7" t="s">
        <v>31</v>
      </c>
      <c r="E200" s="7" t="s">
        <v>31</v>
      </c>
      <c r="F200" s="12" t="n">
        <f aca="false">IF(D200=E200,1,0)</f>
        <v>1</v>
      </c>
      <c r="G200" s="13" t="n">
        <v>0.0291479820627802</v>
      </c>
      <c r="H200" s="14" t="n">
        <v>0.33677081180666</v>
      </c>
      <c r="I200" s="14" t="n">
        <v>0.234736314874569</v>
      </c>
      <c r="J200" s="14" t="n">
        <v>0.42849287331877</v>
      </c>
      <c r="K200" s="12" t="s">
        <v>65</v>
      </c>
      <c r="L200" s="15" t="n">
        <v>953</v>
      </c>
      <c r="M200" s="15" t="n">
        <v>4</v>
      </c>
    </row>
    <row r="201" customFormat="false" ht="15" hidden="false" customHeight="false" outlineLevel="0" collapsed="false">
      <c r="A201" s="12" t="s">
        <v>38</v>
      </c>
      <c r="B201" s="7" t="s">
        <v>39</v>
      </c>
      <c r="C201" s="12" t="s">
        <v>78</v>
      </c>
      <c r="D201" s="7" t="s">
        <v>31</v>
      </c>
      <c r="E201" s="7" t="s">
        <v>31</v>
      </c>
      <c r="F201" s="12" t="n">
        <f aca="false">IF(D201=E201,1,0)</f>
        <v>1</v>
      </c>
      <c r="G201" s="13" t="n">
        <v>0.24225352112676</v>
      </c>
      <c r="H201" s="14" t="n">
        <v>0.316674792228751</v>
      </c>
      <c r="I201" s="14" t="n">
        <v>0.218863627059403</v>
      </c>
      <c r="J201" s="14" t="n">
        <v>0.464461580711846</v>
      </c>
      <c r="K201" s="12" t="s">
        <v>65</v>
      </c>
      <c r="L201" s="15" t="n">
        <v>953</v>
      </c>
      <c r="M201" s="15" t="n">
        <v>4</v>
      </c>
    </row>
    <row r="202" customFormat="false" ht="15" hidden="false" customHeight="false" outlineLevel="0" collapsed="false">
      <c r="A202" s="12" t="s">
        <v>41</v>
      </c>
      <c r="B202" s="7" t="s">
        <v>42</v>
      </c>
      <c r="C202" s="12" t="s">
        <v>78</v>
      </c>
      <c r="D202" s="7" t="s">
        <v>31</v>
      </c>
      <c r="E202" s="7" t="s">
        <v>40</v>
      </c>
      <c r="F202" s="12" t="n">
        <f aca="false">IF(D202=E202,1,0)</f>
        <v>0</v>
      </c>
      <c r="G202" s="13" t="n">
        <v>-0.0047169811320755</v>
      </c>
      <c r="H202" s="14" t="n">
        <v>0.345611957040067</v>
      </c>
      <c r="I202" s="14" t="n">
        <v>0.239113081702179</v>
      </c>
      <c r="J202" s="14" t="n">
        <v>0.415274961257755</v>
      </c>
      <c r="K202" s="12" t="s">
        <v>65</v>
      </c>
      <c r="L202" s="15" t="n">
        <v>953</v>
      </c>
      <c r="M202" s="15" t="n">
        <v>4</v>
      </c>
    </row>
    <row r="203" customFormat="false" ht="15" hidden="false" customHeight="false" outlineLevel="0" collapsed="false">
      <c r="A203" s="12" t="s">
        <v>43</v>
      </c>
      <c r="B203" s="7" t="s">
        <v>44</v>
      </c>
      <c r="C203" s="12" t="s">
        <v>78</v>
      </c>
      <c r="D203" s="7" t="s">
        <v>31</v>
      </c>
      <c r="E203" s="7" t="s">
        <v>31</v>
      </c>
      <c r="F203" s="12" t="n">
        <f aca="false">IF(D203=E203,1,0)</f>
        <v>1</v>
      </c>
      <c r="G203" s="13" t="n">
        <v>0.0775095298602286</v>
      </c>
      <c r="H203" s="14" t="n">
        <v>0.325930707985519</v>
      </c>
      <c r="I203" s="14" t="n">
        <v>0.264199687539453</v>
      </c>
      <c r="J203" s="14" t="n">
        <v>0.409869604475028</v>
      </c>
      <c r="K203" s="12" t="s">
        <v>65</v>
      </c>
      <c r="L203" s="15" t="n">
        <v>953</v>
      </c>
      <c r="M203" s="15" t="n">
        <v>4</v>
      </c>
    </row>
    <row r="204" customFormat="false" ht="15" hidden="false" customHeight="false" outlineLevel="0" collapsed="false">
      <c r="A204" s="12" t="s">
        <v>28</v>
      </c>
      <c r="B204" s="7" t="s">
        <v>29</v>
      </c>
      <c r="C204" s="12" t="s">
        <v>79</v>
      </c>
      <c r="D204" s="7" t="s">
        <v>31</v>
      </c>
      <c r="E204" s="7" t="s">
        <v>31</v>
      </c>
      <c r="F204" s="12" t="n">
        <f aca="false">IF(D204=E204,1,0)</f>
        <v>1</v>
      </c>
      <c r="G204" s="13" t="n">
        <v>0.167064439140811</v>
      </c>
      <c r="H204" s="14" t="n">
        <v>0.339366442539446</v>
      </c>
      <c r="I204" s="14" t="n">
        <v>0.230907694593168</v>
      </c>
      <c r="J204" s="14" t="n">
        <v>0.429725862867387</v>
      </c>
      <c r="K204" s="12" t="s">
        <v>65</v>
      </c>
      <c r="L204" s="15" t="n">
        <v>953</v>
      </c>
      <c r="M204" s="15" t="n">
        <v>4</v>
      </c>
    </row>
    <row r="205" customFormat="false" ht="15" hidden="false" customHeight="false" outlineLevel="0" collapsed="false">
      <c r="A205" s="12" t="s">
        <v>34</v>
      </c>
      <c r="B205" s="7" t="s">
        <v>35</v>
      </c>
      <c r="C205" s="12" t="s">
        <v>79</v>
      </c>
      <c r="D205" s="7" t="s">
        <v>31</v>
      </c>
      <c r="E205" s="7" t="s">
        <v>31</v>
      </c>
      <c r="F205" s="12" t="n">
        <f aca="false">IF(D205=E205,1,0)</f>
        <v>1</v>
      </c>
      <c r="G205" s="13" t="n">
        <v>0.156</v>
      </c>
      <c r="H205" s="14" t="n">
        <v>0.34740078002069</v>
      </c>
      <c r="I205" s="14" t="n">
        <v>0.228185928333764</v>
      </c>
      <c r="J205" s="14" t="n">
        <v>0.424413291645546</v>
      </c>
      <c r="K205" s="12" t="s">
        <v>65</v>
      </c>
      <c r="L205" s="15" t="n">
        <v>953</v>
      </c>
      <c r="M205" s="15" t="n">
        <v>4</v>
      </c>
    </row>
    <row r="206" customFormat="false" ht="15" hidden="false" customHeight="false" outlineLevel="0" collapsed="false">
      <c r="A206" s="12" t="s">
        <v>36</v>
      </c>
      <c r="B206" s="7" t="s">
        <v>37</v>
      </c>
      <c r="C206" s="12" t="s">
        <v>79</v>
      </c>
      <c r="D206" s="7" t="s">
        <v>31</v>
      </c>
      <c r="E206" s="7" t="s">
        <v>31</v>
      </c>
      <c r="F206" s="12" t="n">
        <f aca="false">IF(D206=E206,1,0)</f>
        <v>1</v>
      </c>
      <c r="G206" s="13" t="n">
        <v>0.0443458980044346</v>
      </c>
      <c r="H206" s="14" t="n">
        <v>0.356584356153659</v>
      </c>
      <c r="I206" s="14" t="n">
        <v>0.237134956961564</v>
      </c>
      <c r="J206" s="14" t="n">
        <v>0.406280686884778</v>
      </c>
      <c r="K206" s="12" t="s">
        <v>65</v>
      </c>
      <c r="L206" s="15" t="n">
        <v>953</v>
      </c>
      <c r="M206" s="15" t="n">
        <v>4</v>
      </c>
    </row>
    <row r="207" customFormat="false" ht="15" hidden="false" customHeight="false" outlineLevel="0" collapsed="false">
      <c r="A207" s="12" t="s">
        <v>38</v>
      </c>
      <c r="B207" s="7" t="s">
        <v>39</v>
      </c>
      <c r="C207" s="12" t="s">
        <v>79</v>
      </c>
      <c r="D207" s="7" t="s">
        <v>31</v>
      </c>
      <c r="E207" s="7" t="s">
        <v>31</v>
      </c>
      <c r="F207" s="12" t="n">
        <f aca="false">IF(D207=E207,1,0)</f>
        <v>1</v>
      </c>
      <c r="G207" s="13" t="n">
        <v>0.116580310880829</v>
      </c>
      <c r="H207" s="14" t="n">
        <v>0.315348088145728</v>
      </c>
      <c r="I207" s="14" t="n">
        <v>0.23526181062567</v>
      </c>
      <c r="J207" s="14" t="n">
        <v>0.449390101228603</v>
      </c>
      <c r="K207" s="12" t="s">
        <v>65</v>
      </c>
      <c r="L207" s="15" t="n">
        <v>953</v>
      </c>
      <c r="M207" s="15" t="n">
        <v>4</v>
      </c>
    </row>
    <row r="208" customFormat="false" ht="15" hidden="false" customHeight="false" outlineLevel="0" collapsed="false">
      <c r="A208" s="12" t="s">
        <v>41</v>
      </c>
      <c r="B208" s="7" t="s">
        <v>42</v>
      </c>
      <c r="C208" s="12" t="s">
        <v>79</v>
      </c>
      <c r="D208" s="7" t="s">
        <v>31</v>
      </c>
      <c r="E208" s="7" t="s">
        <v>32</v>
      </c>
      <c r="F208" s="12" t="n">
        <f aca="false">IF(D208=E208,1,0)</f>
        <v>0</v>
      </c>
      <c r="G208" s="13" t="n">
        <v>-0.0273972602739726</v>
      </c>
      <c r="H208" s="14" t="n">
        <v>0.331531243031751</v>
      </c>
      <c r="I208" s="14" t="n">
        <v>0.2311748797181</v>
      </c>
      <c r="J208" s="14" t="n">
        <v>0.437293877250149</v>
      </c>
      <c r="K208" s="12" t="s">
        <v>65</v>
      </c>
      <c r="L208" s="15" t="n">
        <v>953</v>
      </c>
      <c r="M208" s="15" t="n">
        <v>4</v>
      </c>
    </row>
    <row r="209" customFormat="false" ht="15" hidden="false" customHeight="false" outlineLevel="0" collapsed="false">
      <c r="A209" s="12" t="s">
        <v>43</v>
      </c>
      <c r="B209" s="7" t="s">
        <v>44</v>
      </c>
      <c r="C209" s="12" t="s">
        <v>79</v>
      </c>
      <c r="D209" s="7" t="s">
        <v>31</v>
      </c>
      <c r="E209" s="7" t="s">
        <v>31</v>
      </c>
      <c r="F209" s="12" t="n">
        <f aca="false">IF(D209=E209,1,0)</f>
        <v>1</v>
      </c>
      <c r="G209" s="13" t="n">
        <v>0.0752823086574654</v>
      </c>
      <c r="H209" s="14" t="n">
        <v>0.345552198730438</v>
      </c>
      <c r="I209" s="14" t="n">
        <v>0.248132507904645</v>
      </c>
      <c r="J209" s="14" t="n">
        <v>0.406315293364917</v>
      </c>
      <c r="K209" s="12" t="s">
        <v>65</v>
      </c>
      <c r="L209" s="15" t="n">
        <v>953</v>
      </c>
      <c r="M209" s="15" t="n">
        <v>4</v>
      </c>
    </row>
    <row r="210" customFormat="false" ht="15" hidden="false" customHeight="false" outlineLevel="0" collapsed="false">
      <c r="A210" s="12" t="s">
        <v>28</v>
      </c>
      <c r="B210" s="7" t="s">
        <v>29</v>
      </c>
      <c r="C210" s="12" t="s">
        <v>80</v>
      </c>
      <c r="D210" s="7" t="s">
        <v>31</v>
      </c>
      <c r="E210" s="7" t="s">
        <v>31</v>
      </c>
      <c r="F210" s="12" t="n">
        <f aca="false">IF(D210=E210,1,0)</f>
        <v>1</v>
      </c>
      <c r="G210" s="13" t="n">
        <v>0.056768558951965</v>
      </c>
      <c r="H210" s="14" t="n">
        <v>0.33433149018143</v>
      </c>
      <c r="I210" s="14" t="n">
        <v>0.223992663885381</v>
      </c>
      <c r="J210" s="14" t="n">
        <v>0.441675845933189</v>
      </c>
      <c r="K210" s="12" t="s">
        <v>65</v>
      </c>
      <c r="L210" s="15" t="n">
        <v>953</v>
      </c>
      <c r="M210" s="15" t="n">
        <v>4</v>
      </c>
    </row>
    <row r="211" customFormat="false" ht="15" hidden="false" customHeight="false" outlineLevel="0" collapsed="false">
      <c r="A211" s="12" t="s">
        <v>34</v>
      </c>
      <c r="B211" s="7" t="s">
        <v>35</v>
      </c>
      <c r="C211" s="12" t="s">
        <v>80</v>
      </c>
      <c r="D211" s="7" t="s">
        <v>31</v>
      </c>
      <c r="E211" s="7" t="s">
        <v>31</v>
      </c>
      <c r="F211" s="12" t="n">
        <f aca="false">IF(D211=E211,1,0)</f>
        <v>1</v>
      </c>
      <c r="G211" s="13" t="n">
        <v>0.124521072796935</v>
      </c>
      <c r="H211" s="14" t="n">
        <v>0.334121123956101</v>
      </c>
      <c r="I211" s="14" t="n">
        <v>0.236567397163975</v>
      </c>
      <c r="J211" s="14" t="n">
        <v>0.429311478879924</v>
      </c>
      <c r="K211" s="12" t="s">
        <v>65</v>
      </c>
      <c r="L211" s="15" t="n">
        <v>953</v>
      </c>
      <c r="M211" s="15" t="n">
        <v>4</v>
      </c>
    </row>
    <row r="212" customFormat="false" ht="15" hidden="false" customHeight="false" outlineLevel="0" collapsed="false">
      <c r="A212" s="12" t="s">
        <v>36</v>
      </c>
      <c r="B212" s="7" t="s">
        <v>37</v>
      </c>
      <c r="C212" s="12" t="s">
        <v>80</v>
      </c>
      <c r="D212" s="7" t="s">
        <v>31</v>
      </c>
      <c r="E212" s="7" t="s">
        <v>31</v>
      </c>
      <c r="F212" s="12" t="n">
        <f aca="false">IF(D212=E212,1,0)</f>
        <v>1</v>
      </c>
      <c r="G212" s="13" t="n">
        <v>0.0194805194805194</v>
      </c>
      <c r="H212" s="14" t="n">
        <v>0.363541146421688</v>
      </c>
      <c r="I212" s="14" t="n">
        <v>0.221700657261067</v>
      </c>
      <c r="J212" s="14" t="n">
        <v>0.414758196317245</v>
      </c>
      <c r="K212" s="12" t="s">
        <v>65</v>
      </c>
      <c r="L212" s="15" t="n">
        <v>953</v>
      </c>
      <c r="M212" s="15" t="n">
        <v>4</v>
      </c>
    </row>
    <row r="213" customFormat="false" ht="15" hidden="false" customHeight="false" outlineLevel="0" collapsed="false">
      <c r="A213" s="12" t="s">
        <v>41</v>
      </c>
      <c r="B213" s="7" t="s">
        <v>42</v>
      </c>
      <c r="C213" s="12" t="s">
        <v>80</v>
      </c>
      <c r="D213" s="7" t="s">
        <v>31</v>
      </c>
      <c r="E213" s="7" t="s">
        <v>31</v>
      </c>
      <c r="F213" s="12" t="n">
        <f aca="false">IF(D213=E213,1,0)</f>
        <v>1</v>
      </c>
      <c r="G213" s="13" t="n">
        <v>0.0467289719626167</v>
      </c>
      <c r="H213" s="14" t="n">
        <v>0.341603916349872</v>
      </c>
      <c r="I213" s="14" t="n">
        <v>0.22353473513046</v>
      </c>
      <c r="J213" s="14" t="n">
        <v>0.434861348519668</v>
      </c>
      <c r="K213" s="12" t="s">
        <v>65</v>
      </c>
      <c r="L213" s="15" t="n">
        <v>953</v>
      </c>
      <c r="M213" s="15" t="n">
        <v>4</v>
      </c>
    </row>
    <row r="214" customFormat="false" ht="15" hidden="false" customHeight="false" outlineLevel="0" collapsed="false">
      <c r="A214" s="12" t="s">
        <v>43</v>
      </c>
      <c r="B214" s="7" t="s">
        <v>44</v>
      </c>
      <c r="C214" s="12" t="s">
        <v>80</v>
      </c>
      <c r="D214" s="7" t="s">
        <v>31</v>
      </c>
      <c r="E214" s="7" t="s">
        <v>31</v>
      </c>
      <c r="F214" s="12" t="n">
        <f aca="false">IF(D214=E214,1,0)</f>
        <v>1</v>
      </c>
      <c r="G214" s="13" t="n">
        <v>0.0822085889570551</v>
      </c>
      <c r="H214" s="14" t="n">
        <v>0.331478531925056</v>
      </c>
      <c r="I214" s="14" t="n">
        <v>0.252020067977108</v>
      </c>
      <c r="J214" s="14" t="n">
        <v>0.416501400097836</v>
      </c>
      <c r="K214" s="12" t="s">
        <v>65</v>
      </c>
      <c r="L214" s="15" t="n">
        <v>953</v>
      </c>
      <c r="M214" s="15" t="n">
        <v>4</v>
      </c>
    </row>
    <row r="215" customFormat="false" ht="15" hidden="false" customHeight="false" outlineLevel="0" collapsed="false">
      <c r="A215" s="12" t="s">
        <v>28</v>
      </c>
      <c r="B215" s="7" t="s">
        <v>29</v>
      </c>
      <c r="C215" s="12" t="s">
        <v>81</v>
      </c>
      <c r="D215" s="7" t="s">
        <v>31</v>
      </c>
      <c r="E215" s="7" t="s">
        <v>40</v>
      </c>
      <c r="F215" s="12" t="n">
        <f aca="false">IF(D215=E215,1,0)</f>
        <v>0</v>
      </c>
      <c r="G215" s="13" t="n">
        <v>0.004255319148936</v>
      </c>
      <c r="H215" s="14" t="n">
        <v>0.344619478252074</v>
      </c>
      <c r="I215" s="14" t="n">
        <v>0.23885131595243</v>
      </c>
      <c r="J215" s="14" t="n">
        <v>0.416529205795497</v>
      </c>
      <c r="K215" s="12" t="s">
        <v>65</v>
      </c>
      <c r="L215" s="15" t="n">
        <v>953</v>
      </c>
      <c r="M215" s="15" t="n">
        <v>4</v>
      </c>
    </row>
    <row r="216" customFormat="false" ht="15" hidden="false" customHeight="false" outlineLevel="0" collapsed="false">
      <c r="A216" s="12" t="s">
        <v>34</v>
      </c>
      <c r="B216" s="7" t="s">
        <v>35</v>
      </c>
      <c r="C216" s="12" t="s">
        <v>81</v>
      </c>
      <c r="D216" s="7" t="s">
        <v>31</v>
      </c>
      <c r="E216" s="7" t="s">
        <v>31</v>
      </c>
      <c r="F216" s="12" t="n">
        <f aca="false">IF(D216=E216,1,0)</f>
        <v>1</v>
      </c>
      <c r="G216" s="13" t="n">
        <v>0.164092664092664</v>
      </c>
      <c r="H216" s="14" t="n">
        <v>0.345033659613071</v>
      </c>
      <c r="I216" s="14" t="n">
        <v>0.231968325483871</v>
      </c>
      <c r="J216" s="14" t="n">
        <v>0.422998014903058</v>
      </c>
      <c r="K216" s="12" t="s">
        <v>65</v>
      </c>
      <c r="L216" s="15" t="n">
        <v>953</v>
      </c>
      <c r="M216" s="15" t="n">
        <v>4</v>
      </c>
    </row>
    <row r="217" customFormat="false" ht="15" hidden="false" customHeight="false" outlineLevel="0" collapsed="false">
      <c r="A217" s="12" t="s">
        <v>36</v>
      </c>
      <c r="B217" s="7" t="s">
        <v>37</v>
      </c>
      <c r="C217" s="12" t="s">
        <v>81</v>
      </c>
      <c r="D217" s="7" t="s">
        <v>31</v>
      </c>
      <c r="E217" s="7" t="s">
        <v>31</v>
      </c>
      <c r="F217" s="12" t="n">
        <f aca="false">IF(D217=E217,1,0)</f>
        <v>1</v>
      </c>
      <c r="G217" s="13" t="n">
        <v>0.0484581497797356</v>
      </c>
      <c r="H217" s="14" t="n">
        <v>0.366238594974416</v>
      </c>
      <c r="I217" s="14" t="n">
        <v>0.226263378432397</v>
      </c>
      <c r="J217" s="14" t="n">
        <v>0.407498026593188</v>
      </c>
      <c r="K217" s="12" t="s">
        <v>65</v>
      </c>
      <c r="L217" s="15" t="n">
        <v>953</v>
      </c>
      <c r="M217" s="15" t="n">
        <v>4</v>
      </c>
    </row>
    <row r="218" customFormat="false" ht="15" hidden="false" customHeight="false" outlineLevel="0" collapsed="false">
      <c r="A218" s="12" t="s">
        <v>38</v>
      </c>
      <c r="B218" s="7" t="s">
        <v>39</v>
      </c>
      <c r="C218" s="12" t="s">
        <v>81</v>
      </c>
      <c r="D218" s="7" t="s">
        <v>31</v>
      </c>
      <c r="E218" s="7" t="s">
        <v>31</v>
      </c>
      <c r="F218" s="12" t="n">
        <f aca="false">IF(D218=E218,1,0)</f>
        <v>1</v>
      </c>
      <c r="G218" s="13" t="n">
        <v>0.0609613130128956</v>
      </c>
      <c r="H218" s="14" t="n">
        <v>0.316160398230132</v>
      </c>
      <c r="I218" s="14" t="n">
        <v>0.261055120630189</v>
      </c>
      <c r="J218" s="14" t="n">
        <v>0.422784481139679</v>
      </c>
      <c r="K218" s="12" t="s">
        <v>65</v>
      </c>
      <c r="L218" s="15" t="n">
        <v>953</v>
      </c>
      <c r="M218" s="15" t="n">
        <v>4</v>
      </c>
    </row>
    <row r="219" customFormat="false" ht="15" hidden="false" customHeight="false" outlineLevel="0" collapsed="false">
      <c r="A219" s="12" t="s">
        <v>41</v>
      </c>
      <c r="B219" s="7" t="s">
        <v>42</v>
      </c>
      <c r="C219" s="12" t="s">
        <v>81</v>
      </c>
      <c r="D219" s="7" t="s">
        <v>31</v>
      </c>
      <c r="E219" s="7" t="s">
        <v>31</v>
      </c>
      <c r="F219" s="12" t="n">
        <f aca="false">IF(D219=E219,1,0)</f>
        <v>1</v>
      </c>
      <c r="G219" s="13" t="n">
        <v>0.0921985815602837</v>
      </c>
      <c r="H219" s="14" t="n">
        <v>0.328893621587948</v>
      </c>
      <c r="I219" s="14" t="n">
        <v>0.223861194012375</v>
      </c>
      <c r="J219" s="14" t="n">
        <v>0.447245184399678</v>
      </c>
      <c r="K219" s="12" t="s">
        <v>65</v>
      </c>
      <c r="L219" s="15" t="n">
        <v>953</v>
      </c>
      <c r="M219" s="15" t="n">
        <v>4</v>
      </c>
    </row>
    <row r="220" customFormat="false" ht="15" hidden="false" customHeight="false" outlineLevel="0" collapsed="false">
      <c r="A220" s="12" t="s">
        <v>43</v>
      </c>
      <c r="B220" s="7" t="s">
        <v>44</v>
      </c>
      <c r="C220" s="12" t="s">
        <v>81</v>
      </c>
      <c r="D220" s="7" t="s">
        <v>31</v>
      </c>
      <c r="E220" s="7" t="s">
        <v>31</v>
      </c>
      <c r="F220" s="12" t="n">
        <f aca="false">IF(D220=E220,1,0)</f>
        <v>1</v>
      </c>
      <c r="G220" s="13" t="n">
        <v>0.0734055354993983</v>
      </c>
      <c r="H220" s="14" t="n">
        <v>0.315159921264766</v>
      </c>
      <c r="I220" s="14" t="n">
        <v>0.253917294505758</v>
      </c>
      <c r="J220" s="14" t="n">
        <v>0.430922784229476</v>
      </c>
      <c r="K220" s="12" t="s">
        <v>65</v>
      </c>
      <c r="L220" s="15" t="n">
        <v>953</v>
      </c>
      <c r="M220" s="15" t="n">
        <v>4</v>
      </c>
    </row>
    <row r="221" customFormat="false" ht="15" hidden="false" customHeight="false" outlineLevel="0" collapsed="false">
      <c r="A221" s="12" t="s">
        <v>28</v>
      </c>
      <c r="B221" s="7" t="s">
        <v>29</v>
      </c>
      <c r="C221" s="12" t="s">
        <v>82</v>
      </c>
      <c r="D221" s="7" t="s">
        <v>31</v>
      </c>
      <c r="E221" s="7" t="s">
        <v>32</v>
      </c>
      <c r="F221" s="12" t="n">
        <f aca="false">IF(D221=E221,1,0)</f>
        <v>0</v>
      </c>
      <c r="G221" s="13" t="n">
        <v>-0.0257936507936508</v>
      </c>
      <c r="H221" s="14" t="n">
        <v>0.321664075265454</v>
      </c>
      <c r="I221" s="14" t="n">
        <v>0.25895409713192</v>
      </c>
      <c r="J221" s="14" t="n">
        <v>0.419381827602626</v>
      </c>
      <c r="K221" s="12" t="s">
        <v>65</v>
      </c>
      <c r="L221" s="15" t="n">
        <v>953</v>
      </c>
      <c r="M221" s="15" t="n">
        <v>4</v>
      </c>
    </row>
    <row r="222" customFormat="false" ht="15" hidden="false" customHeight="false" outlineLevel="0" collapsed="false">
      <c r="A222" s="12" t="s">
        <v>34</v>
      </c>
      <c r="B222" s="7" t="s">
        <v>35</v>
      </c>
      <c r="C222" s="12" t="s">
        <v>82</v>
      </c>
      <c r="D222" s="7" t="s">
        <v>31</v>
      </c>
      <c r="E222" s="7" t="s">
        <v>31</v>
      </c>
      <c r="F222" s="12" t="n">
        <f aca="false">IF(D222=E222,1,0)</f>
        <v>1</v>
      </c>
      <c r="G222" s="13" t="n">
        <v>0.170454545454545</v>
      </c>
      <c r="H222" s="14" t="n">
        <v>0.333485113747353</v>
      </c>
      <c r="I222" s="14" t="n">
        <v>0.241254915340423</v>
      </c>
      <c r="J222" s="14" t="n">
        <v>0.425259970912223</v>
      </c>
      <c r="K222" s="12" t="s">
        <v>65</v>
      </c>
      <c r="L222" s="15" t="n">
        <v>953</v>
      </c>
      <c r="M222" s="15" t="n">
        <v>4</v>
      </c>
    </row>
    <row r="223" customFormat="false" ht="15" hidden="false" customHeight="false" outlineLevel="0" collapsed="false">
      <c r="A223" s="12" t="s">
        <v>36</v>
      </c>
      <c r="B223" s="7" t="s">
        <v>37</v>
      </c>
      <c r="C223" s="12" t="s">
        <v>82</v>
      </c>
      <c r="D223" s="7" t="s">
        <v>31</v>
      </c>
      <c r="E223" s="7" t="s">
        <v>31</v>
      </c>
      <c r="F223" s="12" t="n">
        <f aca="false">IF(D223=E223,1,0)</f>
        <v>1</v>
      </c>
      <c r="G223" s="13" t="n">
        <v>0.0543478260869565</v>
      </c>
      <c r="H223" s="14" t="n">
        <v>0.349485798443011</v>
      </c>
      <c r="I223" s="14" t="n">
        <v>0.235160624319649</v>
      </c>
      <c r="J223" s="14" t="n">
        <v>0.41535357723734</v>
      </c>
      <c r="K223" s="12" t="s">
        <v>65</v>
      </c>
      <c r="L223" s="15" t="n">
        <v>953</v>
      </c>
      <c r="M223" s="15" t="n">
        <v>4</v>
      </c>
    </row>
    <row r="224" customFormat="false" ht="15" hidden="false" customHeight="false" outlineLevel="0" collapsed="false">
      <c r="A224" s="12" t="s">
        <v>38</v>
      </c>
      <c r="B224" s="7" t="s">
        <v>39</v>
      </c>
      <c r="C224" s="12" t="s">
        <v>82</v>
      </c>
      <c r="D224" s="7" t="s">
        <v>31</v>
      </c>
      <c r="E224" s="7" t="s">
        <v>32</v>
      </c>
      <c r="F224" s="12" t="n">
        <f aca="false">IF(D224=E224,1,0)</f>
        <v>0</v>
      </c>
      <c r="G224" s="13" t="n">
        <v>-0.0204741379310344</v>
      </c>
      <c r="H224" s="14" t="n">
        <v>0.321661300070893</v>
      </c>
      <c r="I224" s="14" t="n">
        <v>0.258955156559816</v>
      </c>
      <c r="J224" s="14" t="n">
        <v>0.41938354336929</v>
      </c>
      <c r="K224" s="12" t="s">
        <v>65</v>
      </c>
      <c r="L224" s="15" t="n">
        <v>953</v>
      </c>
      <c r="M224" s="15" t="n">
        <v>4</v>
      </c>
    </row>
    <row r="225" customFormat="false" ht="15" hidden="false" customHeight="false" outlineLevel="0" collapsed="false">
      <c r="A225" s="12" t="s">
        <v>41</v>
      </c>
      <c r="B225" s="7" t="s">
        <v>42</v>
      </c>
      <c r="C225" s="12" t="s">
        <v>82</v>
      </c>
      <c r="D225" s="7" t="s">
        <v>31</v>
      </c>
      <c r="E225" s="7" t="s">
        <v>31</v>
      </c>
      <c r="F225" s="12" t="n">
        <f aca="false">IF(D225=E225,1,0)</f>
        <v>1</v>
      </c>
      <c r="G225" s="13" t="n">
        <v>0.120567375886525</v>
      </c>
      <c r="H225" s="14" t="n">
        <v>0.335345481179432</v>
      </c>
      <c r="I225" s="14" t="n">
        <v>0.228252647348491</v>
      </c>
      <c r="J225" s="14" t="n">
        <v>0.436401871472077</v>
      </c>
      <c r="K225" s="12" t="s">
        <v>65</v>
      </c>
      <c r="L225" s="15" t="n">
        <v>953</v>
      </c>
      <c r="M225" s="15" t="n">
        <v>4</v>
      </c>
    </row>
    <row r="226" customFormat="false" ht="15" hidden="false" customHeight="false" outlineLevel="0" collapsed="false">
      <c r="A226" s="12" t="s">
        <v>43</v>
      </c>
      <c r="B226" s="7" t="s">
        <v>44</v>
      </c>
      <c r="C226" s="12" t="s">
        <v>82</v>
      </c>
      <c r="D226" s="7" t="s">
        <v>31</v>
      </c>
      <c r="E226" s="7" t="s">
        <v>31</v>
      </c>
      <c r="F226" s="12" t="n">
        <f aca="false">IF(D226=E226,1,0)</f>
        <v>1</v>
      </c>
      <c r="G226" s="13" t="n">
        <v>0.0749414519906321</v>
      </c>
      <c r="H226" s="14" t="n">
        <v>0.3191878393817</v>
      </c>
      <c r="I226" s="14" t="n">
        <v>0.257162497977818</v>
      </c>
      <c r="J226" s="14" t="n">
        <v>0.423649662640482</v>
      </c>
      <c r="K226" s="12" t="s">
        <v>65</v>
      </c>
      <c r="L226" s="15" t="n">
        <v>953</v>
      </c>
      <c r="M226" s="15" t="n">
        <v>4</v>
      </c>
    </row>
    <row r="227" customFormat="false" ht="15" hidden="false" customHeight="false" outlineLevel="0" collapsed="false">
      <c r="A227" s="12" t="s">
        <v>28</v>
      </c>
      <c r="B227" s="7" t="s">
        <v>29</v>
      </c>
      <c r="C227" s="12" t="s">
        <v>83</v>
      </c>
      <c r="D227" s="7" t="s">
        <v>31</v>
      </c>
      <c r="E227" s="7" t="s">
        <v>31</v>
      </c>
      <c r="F227" s="12" t="n">
        <f aca="false">IF(D227=E227,1,0)</f>
        <v>1</v>
      </c>
      <c r="G227" s="13" t="n">
        <v>0.0146443514644352</v>
      </c>
      <c r="H227" s="14" t="n">
        <v>0.325410039961202</v>
      </c>
      <c r="I227" s="14" t="n">
        <v>0.232131457245885</v>
      </c>
      <c r="J227" s="14" t="n">
        <v>0.442458502792913</v>
      </c>
      <c r="K227" s="12" t="s">
        <v>65</v>
      </c>
      <c r="L227" s="15" t="n">
        <v>953</v>
      </c>
      <c r="M227" s="15" t="n">
        <v>4</v>
      </c>
    </row>
    <row r="228" customFormat="false" ht="15" hidden="false" customHeight="false" outlineLevel="0" collapsed="false">
      <c r="A228" s="12" t="s">
        <v>34</v>
      </c>
      <c r="B228" s="7" t="s">
        <v>35</v>
      </c>
      <c r="C228" s="12" t="s">
        <v>83</v>
      </c>
      <c r="D228" s="7" t="s">
        <v>31</v>
      </c>
      <c r="E228" s="7" t="s">
        <v>31</v>
      </c>
      <c r="F228" s="12" t="n">
        <f aca="false">IF(D228=E228,1,0)</f>
        <v>1</v>
      </c>
      <c r="G228" s="13" t="n">
        <v>0.114068441064639</v>
      </c>
      <c r="H228" s="14" t="n">
        <v>0.345033659613071</v>
      </c>
      <c r="I228" s="14" t="n">
        <v>0.231968325483871</v>
      </c>
      <c r="J228" s="14" t="n">
        <v>0.422998014903058</v>
      </c>
      <c r="K228" s="12" t="s">
        <v>65</v>
      </c>
      <c r="L228" s="15" t="n">
        <v>953</v>
      </c>
      <c r="M228" s="15" t="n">
        <v>4</v>
      </c>
    </row>
    <row r="229" customFormat="false" ht="15" hidden="false" customHeight="false" outlineLevel="0" collapsed="false">
      <c r="A229" s="12" t="s">
        <v>36</v>
      </c>
      <c r="B229" s="7" t="s">
        <v>37</v>
      </c>
      <c r="C229" s="12" t="s">
        <v>83</v>
      </c>
      <c r="D229" s="7" t="s">
        <v>31</v>
      </c>
      <c r="E229" s="7" t="s">
        <v>31</v>
      </c>
      <c r="F229" s="12" t="n">
        <f aca="false">IF(D229=E229,1,0)</f>
        <v>1</v>
      </c>
      <c r="G229" s="13" t="n">
        <v>0.0392156862745098</v>
      </c>
      <c r="H229" s="14" t="n">
        <v>0.351235954368952</v>
      </c>
      <c r="I229" s="14" t="n">
        <v>0.23133045962711</v>
      </c>
      <c r="J229" s="14" t="n">
        <v>0.417433586003938</v>
      </c>
      <c r="K229" s="12" t="s">
        <v>65</v>
      </c>
      <c r="L229" s="15" t="n">
        <v>953</v>
      </c>
      <c r="M229" s="15" t="n">
        <v>4</v>
      </c>
    </row>
    <row r="230" customFormat="false" ht="15" hidden="false" customHeight="false" outlineLevel="0" collapsed="false">
      <c r="A230" s="12" t="s">
        <v>38</v>
      </c>
      <c r="B230" s="7" t="s">
        <v>39</v>
      </c>
      <c r="C230" s="12" t="s">
        <v>83</v>
      </c>
      <c r="D230" s="7" t="s">
        <v>31</v>
      </c>
      <c r="E230" s="7" t="s">
        <v>40</v>
      </c>
      <c r="F230" s="12" t="n">
        <f aca="false">IF(D230=E230,1,0)</f>
        <v>0</v>
      </c>
      <c r="G230" s="13" t="n">
        <v>0.0045351473922903</v>
      </c>
      <c r="H230" s="14" t="n">
        <v>0.32823223887823</v>
      </c>
      <c r="I230" s="14" t="n">
        <v>0.249788006979753</v>
      </c>
      <c r="J230" s="14" t="n">
        <v>0.421979754142018</v>
      </c>
      <c r="K230" s="12" t="s">
        <v>65</v>
      </c>
      <c r="L230" s="15" t="n">
        <v>953</v>
      </c>
      <c r="M230" s="15" t="n">
        <v>4</v>
      </c>
    </row>
    <row r="231" customFormat="false" ht="15" hidden="false" customHeight="false" outlineLevel="0" collapsed="false">
      <c r="A231" s="12" t="s">
        <v>41</v>
      </c>
      <c r="B231" s="7" t="s">
        <v>42</v>
      </c>
      <c r="C231" s="12" t="s">
        <v>83</v>
      </c>
      <c r="D231" s="7" t="s">
        <v>31</v>
      </c>
      <c r="E231" s="7" t="s">
        <v>31</v>
      </c>
      <c r="F231" s="12" t="n">
        <f aca="false">IF(D231=E231,1,0)</f>
        <v>1</v>
      </c>
      <c r="G231" s="13" t="n">
        <v>0.118483412322275</v>
      </c>
      <c r="H231" s="14" t="n">
        <v>0.339794308824498</v>
      </c>
      <c r="I231" s="14" t="n">
        <v>0.235088117389609</v>
      </c>
      <c r="J231" s="14" t="n">
        <v>0.425117573785893</v>
      </c>
      <c r="K231" s="12" t="s">
        <v>65</v>
      </c>
      <c r="L231" s="15" t="n">
        <v>953</v>
      </c>
      <c r="M231" s="15" t="n">
        <v>4</v>
      </c>
    </row>
    <row r="232" customFormat="false" ht="15" hidden="false" customHeight="false" outlineLevel="0" collapsed="false">
      <c r="A232" s="12" t="s">
        <v>43</v>
      </c>
      <c r="B232" s="7" t="s">
        <v>44</v>
      </c>
      <c r="C232" s="12" t="s">
        <v>83</v>
      </c>
      <c r="D232" s="7" t="s">
        <v>31</v>
      </c>
      <c r="E232" s="7" t="s">
        <v>31</v>
      </c>
      <c r="F232" s="12" t="n">
        <f aca="false">IF(D232=E232,1,0)</f>
        <v>1</v>
      </c>
      <c r="G232" s="13" t="n">
        <v>0.113207547169812</v>
      </c>
      <c r="H232" s="14" t="n">
        <v>0.333138407207023</v>
      </c>
      <c r="I232" s="14" t="n">
        <v>0.249440793468619</v>
      </c>
      <c r="J232" s="14" t="n">
        <v>0.417420799324358</v>
      </c>
      <c r="K232" s="12" t="s">
        <v>65</v>
      </c>
      <c r="L232" s="15" t="n">
        <v>953</v>
      </c>
      <c r="M232" s="15" t="n">
        <v>4</v>
      </c>
    </row>
    <row r="233" customFormat="false" ht="15" hidden="false" customHeight="false" outlineLevel="0" collapsed="false">
      <c r="A233" s="12" t="s">
        <v>28</v>
      </c>
      <c r="B233" s="7" t="s">
        <v>29</v>
      </c>
      <c r="C233" s="12" t="s">
        <v>84</v>
      </c>
      <c r="D233" s="7" t="s">
        <v>31</v>
      </c>
      <c r="E233" s="7" t="s">
        <v>32</v>
      </c>
      <c r="F233" s="12" t="n">
        <f aca="false">IF(D233=E233,1,0)</f>
        <v>0</v>
      </c>
      <c r="G233" s="13" t="n">
        <v>-0.0593047034764826</v>
      </c>
      <c r="H233" s="14" t="n">
        <v>0.315501015256081</v>
      </c>
      <c r="I233" s="14" t="n">
        <v>0.249742409143406</v>
      </c>
      <c r="J233" s="14" t="n">
        <v>0.434756575600513</v>
      </c>
      <c r="K233" s="12" t="s">
        <v>65</v>
      </c>
      <c r="L233" s="15" t="n">
        <v>953</v>
      </c>
      <c r="M233" s="15" t="n">
        <v>4</v>
      </c>
    </row>
    <row r="234" customFormat="false" ht="15" hidden="false" customHeight="false" outlineLevel="0" collapsed="false">
      <c r="A234" s="12" t="s">
        <v>34</v>
      </c>
      <c r="B234" s="7" t="s">
        <v>35</v>
      </c>
      <c r="C234" s="12" t="s">
        <v>84</v>
      </c>
      <c r="D234" s="7" t="s">
        <v>31</v>
      </c>
      <c r="E234" s="7" t="s">
        <v>32</v>
      </c>
      <c r="F234" s="12" t="n">
        <f aca="false">IF(D234=E234,1,0)</f>
        <v>0</v>
      </c>
      <c r="G234" s="13" t="n">
        <v>-0.0155709342560553</v>
      </c>
      <c r="H234" s="14" t="n">
        <v>0.333065821982783</v>
      </c>
      <c r="I234" s="14" t="n">
        <v>0.250217023643481</v>
      </c>
      <c r="J234" s="14" t="n">
        <v>0.416717154373737</v>
      </c>
      <c r="K234" s="12" t="s">
        <v>65</v>
      </c>
      <c r="L234" s="15" t="n">
        <v>953</v>
      </c>
      <c r="M234" s="15" t="n">
        <v>4</v>
      </c>
    </row>
    <row r="235" customFormat="false" ht="15" hidden="false" customHeight="false" outlineLevel="0" collapsed="false">
      <c r="A235" s="12" t="s">
        <v>36</v>
      </c>
      <c r="B235" s="7" t="s">
        <v>37</v>
      </c>
      <c r="C235" s="12" t="s">
        <v>84</v>
      </c>
      <c r="D235" s="7" t="s">
        <v>31</v>
      </c>
      <c r="E235" s="7" t="s">
        <v>40</v>
      </c>
      <c r="F235" s="12" t="n">
        <f aca="false">IF(D235=E235,1,0)</f>
        <v>0</v>
      </c>
      <c r="G235" s="13" t="n">
        <v>0.0042462845010615</v>
      </c>
      <c r="H235" s="14" t="n">
        <v>0.342308236563906</v>
      </c>
      <c r="I235" s="14" t="n">
        <v>0.23775531007523</v>
      </c>
      <c r="J235" s="14" t="n">
        <v>0.419936453360864</v>
      </c>
      <c r="K235" s="12" t="s">
        <v>65</v>
      </c>
      <c r="L235" s="15" t="n">
        <v>953</v>
      </c>
      <c r="M235" s="15" t="n">
        <v>4</v>
      </c>
    </row>
    <row r="236" customFormat="false" ht="15" hidden="false" customHeight="false" outlineLevel="0" collapsed="false">
      <c r="A236" s="12" t="s">
        <v>38</v>
      </c>
      <c r="B236" s="7" t="s">
        <v>39</v>
      </c>
      <c r="C236" s="12" t="s">
        <v>84</v>
      </c>
      <c r="D236" s="7" t="s">
        <v>31</v>
      </c>
      <c r="E236" s="7" t="s">
        <v>40</v>
      </c>
      <c r="F236" s="12" t="n">
        <f aca="false">IF(D236=E236,1,0)</f>
        <v>0</v>
      </c>
      <c r="G236" s="13" t="n">
        <v>-0.0023201856148491</v>
      </c>
      <c r="H236" s="14" t="n">
        <v>0.309905826746117</v>
      </c>
      <c r="I236" s="14" t="n">
        <v>0.237131894165352</v>
      </c>
      <c r="J236" s="14" t="n">
        <v>0.452962279088531</v>
      </c>
      <c r="K236" s="12" t="s">
        <v>65</v>
      </c>
      <c r="L236" s="15" t="n">
        <v>953</v>
      </c>
      <c r="M236" s="15" t="n">
        <v>4</v>
      </c>
    </row>
    <row r="237" customFormat="false" ht="15" hidden="false" customHeight="false" outlineLevel="0" collapsed="false">
      <c r="A237" s="12" t="s">
        <v>41</v>
      </c>
      <c r="B237" s="7" t="s">
        <v>42</v>
      </c>
      <c r="C237" s="12" t="s">
        <v>84</v>
      </c>
      <c r="D237" s="7" t="s">
        <v>31</v>
      </c>
      <c r="E237" s="7" t="s">
        <v>31</v>
      </c>
      <c r="F237" s="12" t="n">
        <f aca="false">IF(D237=E237,1,0)</f>
        <v>1</v>
      </c>
      <c r="G237" s="13" t="n">
        <v>0.0892018779342722</v>
      </c>
      <c r="H237" s="14" t="n">
        <v>0.340418624206719</v>
      </c>
      <c r="I237" s="14" t="n">
        <v>0.230485851259237</v>
      </c>
      <c r="J237" s="14" t="n">
        <v>0.429095524534044</v>
      </c>
      <c r="K237" s="12" t="s">
        <v>65</v>
      </c>
      <c r="L237" s="15" t="n">
        <v>953</v>
      </c>
      <c r="M237" s="15" t="n">
        <v>4</v>
      </c>
    </row>
    <row r="238" customFormat="false" ht="15" hidden="false" customHeight="false" outlineLevel="0" collapsed="false">
      <c r="A238" s="12" t="s">
        <v>43</v>
      </c>
      <c r="B238" s="7" t="s">
        <v>44</v>
      </c>
      <c r="C238" s="12" t="s">
        <v>84</v>
      </c>
      <c r="D238" s="7" t="s">
        <v>31</v>
      </c>
      <c r="E238" s="7" t="s">
        <v>31</v>
      </c>
      <c r="F238" s="12" t="n">
        <f aca="false">IF(D238=E238,1,0)</f>
        <v>1</v>
      </c>
      <c r="G238" s="13" t="n">
        <v>0.166861143523921</v>
      </c>
      <c r="H238" s="14" t="n">
        <v>0.325537785697562</v>
      </c>
      <c r="I238" s="14" t="n">
        <v>0.254259617998439</v>
      </c>
      <c r="J238" s="14" t="n">
        <v>0.420202596303999</v>
      </c>
      <c r="K238" s="12" t="s">
        <v>65</v>
      </c>
      <c r="L238" s="15" t="n">
        <v>953</v>
      </c>
      <c r="M238" s="15" t="n">
        <v>4</v>
      </c>
    </row>
    <row r="239" customFormat="false" ht="15" hidden="false" customHeight="false" outlineLevel="0" collapsed="false">
      <c r="A239" s="12" t="s">
        <v>28</v>
      </c>
      <c r="B239" s="7" t="s">
        <v>29</v>
      </c>
      <c r="C239" s="12" t="s">
        <v>85</v>
      </c>
      <c r="D239" s="7" t="s">
        <v>31</v>
      </c>
      <c r="E239" s="7" t="s">
        <v>32</v>
      </c>
      <c r="F239" s="12" t="n">
        <f aca="false">IF(D239=E239,1,0)</f>
        <v>0</v>
      </c>
      <c r="G239" s="13" t="n">
        <v>-0.0681818181818182</v>
      </c>
      <c r="H239" s="14" t="n">
        <v>0.291226441674604</v>
      </c>
      <c r="I239" s="14" t="n">
        <v>0.215652219875245</v>
      </c>
      <c r="J239" s="14" t="n">
        <v>0.493121338450152</v>
      </c>
      <c r="K239" s="12" t="s">
        <v>86</v>
      </c>
      <c r="L239" s="15" t="n">
        <v>1071</v>
      </c>
      <c r="M239" s="15" t="n">
        <v>4</v>
      </c>
    </row>
    <row r="240" customFormat="false" ht="15" hidden="false" customHeight="false" outlineLevel="0" collapsed="false">
      <c r="A240" s="12" t="s">
        <v>34</v>
      </c>
      <c r="B240" s="7" t="s">
        <v>35</v>
      </c>
      <c r="C240" s="12" t="s">
        <v>85</v>
      </c>
      <c r="D240" s="7" t="s">
        <v>31</v>
      </c>
      <c r="E240" s="7" t="s">
        <v>32</v>
      </c>
      <c r="F240" s="12" t="n">
        <f aca="false">IF(D240=E240,1,0)</f>
        <v>0</v>
      </c>
      <c r="G240" s="13" t="n">
        <v>-0.0817717206132878</v>
      </c>
      <c r="H240" s="14" t="n">
        <v>0.287647387709543</v>
      </c>
      <c r="I240" s="14" t="n">
        <v>0.22193854568785</v>
      </c>
      <c r="J240" s="14" t="n">
        <v>0.490414066602607</v>
      </c>
      <c r="K240" s="12" t="s">
        <v>86</v>
      </c>
      <c r="L240" s="15" t="n">
        <v>1071</v>
      </c>
      <c r="M240" s="15" t="n">
        <v>4</v>
      </c>
    </row>
    <row r="241" customFormat="false" ht="15" hidden="false" customHeight="false" outlineLevel="0" collapsed="false">
      <c r="A241" s="12" t="s">
        <v>36</v>
      </c>
      <c r="B241" s="7" t="s">
        <v>37</v>
      </c>
      <c r="C241" s="12" t="s">
        <v>85</v>
      </c>
      <c r="D241" s="7" t="s">
        <v>31</v>
      </c>
      <c r="E241" s="7" t="s">
        <v>32</v>
      </c>
      <c r="F241" s="12" t="n">
        <f aca="false">IF(D241=E241,1,0)</f>
        <v>0</v>
      </c>
      <c r="G241" s="13" t="n">
        <v>-0.0254777070063694</v>
      </c>
      <c r="H241" s="14" t="n">
        <v>0.323901232224796</v>
      </c>
      <c r="I241" s="14" t="n">
        <v>0.247344218401596</v>
      </c>
      <c r="J241" s="14" t="n">
        <v>0.428754549373608</v>
      </c>
      <c r="K241" s="12" t="s">
        <v>86</v>
      </c>
      <c r="L241" s="15" t="n">
        <v>1071</v>
      </c>
      <c r="M241" s="15" t="n">
        <v>4</v>
      </c>
    </row>
    <row r="242" customFormat="false" ht="15" hidden="false" customHeight="false" outlineLevel="0" collapsed="false">
      <c r="A242" s="12" t="s">
        <v>38</v>
      </c>
      <c r="B242" s="7" t="s">
        <v>39</v>
      </c>
      <c r="C242" s="12" t="s">
        <v>85</v>
      </c>
      <c r="D242" s="7" t="s">
        <v>31</v>
      </c>
      <c r="E242" s="7" t="s">
        <v>32</v>
      </c>
      <c r="F242" s="12" t="n">
        <f aca="false">IF(D242=E242,1,0)</f>
        <v>0</v>
      </c>
      <c r="G242" s="13" t="n">
        <v>-0.106476399560922</v>
      </c>
      <c r="H242" s="14" t="n">
        <v>0.286759887980232</v>
      </c>
      <c r="I242" s="14" t="n">
        <v>0.212344751590962</v>
      </c>
      <c r="J242" s="14" t="n">
        <v>0.500895360428805</v>
      </c>
      <c r="K242" s="12" t="s">
        <v>86</v>
      </c>
      <c r="L242" s="15" t="n">
        <v>1071</v>
      </c>
      <c r="M242" s="15" t="n">
        <v>4</v>
      </c>
    </row>
    <row r="243" customFormat="false" ht="15" hidden="false" customHeight="false" outlineLevel="0" collapsed="false">
      <c r="A243" s="12" t="s">
        <v>41</v>
      </c>
      <c r="B243" s="7" t="s">
        <v>42</v>
      </c>
      <c r="C243" s="12" t="s">
        <v>85</v>
      </c>
      <c r="D243" s="7" t="s">
        <v>31</v>
      </c>
      <c r="E243" s="7" t="s">
        <v>40</v>
      </c>
      <c r="F243" s="12" t="n">
        <f aca="false">IF(D243=E243,1,0)</f>
        <v>0</v>
      </c>
      <c r="G243" s="13" t="n">
        <v>0</v>
      </c>
      <c r="H243" s="14" t="n">
        <v>0.320308121474788</v>
      </c>
      <c r="I243" s="14" t="n">
        <v>0.240568115007642</v>
      </c>
      <c r="J243" s="14" t="n">
        <v>0.439123763517569</v>
      </c>
      <c r="K243" s="12" t="s">
        <v>86</v>
      </c>
      <c r="L243" s="15" t="n">
        <v>1071</v>
      </c>
      <c r="M243" s="15" t="n">
        <v>4</v>
      </c>
    </row>
    <row r="244" customFormat="false" ht="15" hidden="false" customHeight="false" outlineLevel="0" collapsed="false">
      <c r="A244" s="12" t="s">
        <v>43</v>
      </c>
      <c r="B244" s="7" t="s">
        <v>44</v>
      </c>
      <c r="C244" s="12" t="s">
        <v>85</v>
      </c>
      <c r="D244" s="7" t="s">
        <v>31</v>
      </c>
      <c r="E244" s="7" t="s">
        <v>31</v>
      </c>
      <c r="F244" s="12" t="n">
        <f aca="false">IF(D244=E244,1,0)</f>
        <v>1</v>
      </c>
      <c r="G244" s="13" t="n">
        <v>0.0770975056689342</v>
      </c>
      <c r="H244" s="14" t="n">
        <v>0.306222536876571</v>
      </c>
      <c r="I244" s="14" t="n">
        <v>0.273964215029681</v>
      </c>
      <c r="J244" s="14" t="n">
        <v>0.419813248093748</v>
      </c>
      <c r="K244" s="12" t="s">
        <v>86</v>
      </c>
      <c r="L244" s="15" t="n">
        <v>1071</v>
      </c>
      <c r="M244" s="15" t="n">
        <v>4</v>
      </c>
    </row>
    <row r="245" customFormat="false" ht="15" hidden="false" customHeight="false" outlineLevel="0" collapsed="false">
      <c r="A245" s="12" t="s">
        <v>28</v>
      </c>
      <c r="B245" s="7" t="s">
        <v>29</v>
      </c>
      <c r="C245" s="12" t="s">
        <v>87</v>
      </c>
      <c r="D245" s="7" t="s">
        <v>31</v>
      </c>
      <c r="E245" s="7" t="s">
        <v>31</v>
      </c>
      <c r="F245" s="12" t="n">
        <f aca="false">IF(D245=E245,1,0)</f>
        <v>1</v>
      </c>
      <c r="G245" s="13" t="n">
        <v>0.0233050847457627</v>
      </c>
      <c r="H245" s="14" t="n">
        <v>0.286759887980232</v>
      </c>
      <c r="I245" s="14" t="n">
        <v>0.212344751590962</v>
      </c>
      <c r="J245" s="14" t="n">
        <v>0.500895360428805</v>
      </c>
      <c r="K245" s="12" t="s">
        <v>86</v>
      </c>
      <c r="L245" s="15" t="n">
        <v>1071</v>
      </c>
      <c r="M245" s="15" t="n">
        <v>4</v>
      </c>
    </row>
    <row r="246" customFormat="false" ht="15" hidden="false" customHeight="false" outlineLevel="0" collapsed="false">
      <c r="A246" s="12" t="s">
        <v>34</v>
      </c>
      <c r="B246" s="7" t="s">
        <v>35</v>
      </c>
      <c r="C246" s="12" t="s">
        <v>87</v>
      </c>
      <c r="D246" s="7" t="s">
        <v>31</v>
      </c>
      <c r="E246" s="7" t="s">
        <v>32</v>
      </c>
      <c r="F246" s="12" t="n">
        <f aca="false">IF(D246=E246,1,0)</f>
        <v>0</v>
      </c>
      <c r="G246" s="13" t="n">
        <v>-0.0796019900497512</v>
      </c>
      <c r="H246" s="14" t="n">
        <v>0.303475978735362</v>
      </c>
      <c r="I246" s="14" t="n">
        <v>0.251260806500152</v>
      </c>
      <c r="J246" s="14" t="n">
        <v>0.445263214764487</v>
      </c>
      <c r="K246" s="12" t="s">
        <v>86</v>
      </c>
      <c r="L246" s="15" t="n">
        <v>1071</v>
      </c>
      <c r="M246" s="15" t="n">
        <v>4</v>
      </c>
    </row>
    <row r="247" customFormat="false" ht="15" hidden="false" customHeight="false" outlineLevel="0" collapsed="false">
      <c r="A247" s="12" t="s">
        <v>36</v>
      </c>
      <c r="B247" s="7" t="s">
        <v>37</v>
      </c>
      <c r="C247" s="12" t="s">
        <v>87</v>
      </c>
      <c r="D247" s="7" t="s">
        <v>31</v>
      </c>
      <c r="E247" s="7" t="s">
        <v>32</v>
      </c>
      <c r="F247" s="12" t="n">
        <f aca="false">IF(D247=E247,1,0)</f>
        <v>0</v>
      </c>
      <c r="G247" s="13" t="n">
        <v>-0.0315126050420168</v>
      </c>
      <c r="H247" s="14" t="n">
        <v>0.314570059402458</v>
      </c>
      <c r="I247" s="14" t="n">
        <v>0.257218880311312</v>
      </c>
      <c r="J247" s="14" t="n">
        <v>0.428211060286231</v>
      </c>
      <c r="K247" s="12" t="s">
        <v>86</v>
      </c>
      <c r="L247" s="15" t="n">
        <v>1071</v>
      </c>
      <c r="M247" s="15" t="n">
        <v>4</v>
      </c>
    </row>
    <row r="248" customFormat="false" ht="15" hidden="false" customHeight="false" outlineLevel="0" collapsed="false">
      <c r="A248" s="12" t="s">
        <v>38</v>
      </c>
      <c r="B248" s="7" t="s">
        <v>39</v>
      </c>
      <c r="C248" s="12" t="s">
        <v>87</v>
      </c>
      <c r="D248" s="7" t="s">
        <v>31</v>
      </c>
      <c r="E248" s="7" t="s">
        <v>40</v>
      </c>
      <c r="F248" s="12" t="n">
        <f aca="false">IF(D248=E248,1,0)</f>
        <v>0</v>
      </c>
      <c r="G248" s="13" t="n">
        <v>-0.011049723756906</v>
      </c>
      <c r="H248" s="14" t="n">
        <v>0.286759887980232</v>
      </c>
      <c r="I248" s="14" t="n">
        <v>0.212344751590962</v>
      </c>
      <c r="J248" s="14" t="n">
        <v>0.500895360428805</v>
      </c>
      <c r="K248" s="12" t="s">
        <v>86</v>
      </c>
      <c r="L248" s="15" t="n">
        <v>1071</v>
      </c>
      <c r="M248" s="15" t="n">
        <v>4</v>
      </c>
    </row>
    <row r="249" customFormat="false" ht="15" hidden="false" customHeight="false" outlineLevel="0" collapsed="false">
      <c r="A249" s="12" t="s">
        <v>41</v>
      </c>
      <c r="B249" s="7" t="s">
        <v>42</v>
      </c>
      <c r="C249" s="12" t="s">
        <v>87</v>
      </c>
      <c r="D249" s="7" t="s">
        <v>31</v>
      </c>
      <c r="E249" s="7" t="s">
        <v>32</v>
      </c>
      <c r="F249" s="12" t="n">
        <f aca="false">IF(D249=E249,1,0)</f>
        <v>0</v>
      </c>
      <c r="G249" s="13" t="n">
        <v>-0.0389610389610389</v>
      </c>
      <c r="H249" s="14" t="n">
        <v>0.323464325084635</v>
      </c>
      <c r="I249" s="14" t="n">
        <v>0.233084940226407</v>
      </c>
      <c r="J249" s="14" t="n">
        <v>0.443450734688959</v>
      </c>
      <c r="K249" s="12" t="s">
        <v>86</v>
      </c>
      <c r="L249" s="15" t="n">
        <v>1071</v>
      </c>
      <c r="M249" s="15" t="n">
        <v>4</v>
      </c>
    </row>
    <row r="250" customFormat="false" ht="15" hidden="false" customHeight="false" outlineLevel="0" collapsed="false">
      <c r="A250" s="12" t="s">
        <v>43</v>
      </c>
      <c r="B250" s="7" t="s">
        <v>44</v>
      </c>
      <c r="C250" s="12" t="s">
        <v>87</v>
      </c>
      <c r="D250" s="7" t="s">
        <v>31</v>
      </c>
      <c r="E250" s="7" t="s">
        <v>31</v>
      </c>
      <c r="F250" s="12" t="n">
        <f aca="false">IF(D250=E250,1,0)</f>
        <v>1</v>
      </c>
      <c r="G250" s="13" t="n">
        <v>0.165919282511211</v>
      </c>
      <c r="H250" s="14" t="n">
        <v>0.299927941890423</v>
      </c>
      <c r="I250" s="14" t="n">
        <v>0.282334547250723</v>
      </c>
      <c r="J250" s="14" t="n">
        <v>0.417737510858854</v>
      </c>
      <c r="K250" s="12" t="s">
        <v>86</v>
      </c>
      <c r="L250" s="15" t="n">
        <v>1071</v>
      </c>
      <c r="M250" s="15" t="n">
        <v>4</v>
      </c>
    </row>
    <row r="251" customFormat="false" ht="15" hidden="false" customHeight="false" outlineLevel="0" collapsed="false">
      <c r="A251" s="12" t="s">
        <v>28</v>
      </c>
      <c r="B251" s="7" t="s">
        <v>29</v>
      </c>
      <c r="C251" s="12" t="s">
        <v>88</v>
      </c>
      <c r="D251" s="7" t="s">
        <v>31</v>
      </c>
      <c r="E251" s="7" t="s">
        <v>32</v>
      </c>
      <c r="F251" s="12" t="n">
        <f aca="false">IF(D251=E251,1,0)</f>
        <v>0</v>
      </c>
      <c r="G251" s="13" t="n">
        <v>-0.103869653767821</v>
      </c>
      <c r="H251" s="14" t="n">
        <v>0.299697387078232</v>
      </c>
      <c r="I251" s="14" t="n">
        <v>0.219703713618494</v>
      </c>
      <c r="J251" s="14" t="n">
        <v>0.480598899303274</v>
      </c>
      <c r="K251" s="12" t="s">
        <v>86</v>
      </c>
      <c r="L251" s="15" t="n">
        <v>1071</v>
      </c>
      <c r="M251" s="15" t="n">
        <v>4</v>
      </c>
    </row>
    <row r="252" customFormat="false" ht="15" hidden="false" customHeight="false" outlineLevel="0" collapsed="false">
      <c r="A252" s="12" t="s">
        <v>34</v>
      </c>
      <c r="B252" s="7" t="s">
        <v>35</v>
      </c>
      <c r="C252" s="12" t="s">
        <v>88</v>
      </c>
      <c r="D252" s="7" t="s">
        <v>31</v>
      </c>
      <c r="E252" s="7" t="s">
        <v>32</v>
      </c>
      <c r="F252" s="12" t="n">
        <f aca="false">IF(D252=E252,1,0)</f>
        <v>0</v>
      </c>
      <c r="G252" s="13" t="n">
        <v>-0.148867313915858</v>
      </c>
      <c r="H252" s="14" t="n">
        <v>0.292965873258007</v>
      </c>
      <c r="I252" s="14" t="n">
        <v>0.238313928473444</v>
      </c>
      <c r="J252" s="14" t="n">
        <v>0.468720198268549</v>
      </c>
      <c r="K252" s="12" t="s">
        <v>86</v>
      </c>
      <c r="L252" s="15" t="n">
        <v>1071</v>
      </c>
      <c r="M252" s="15" t="n">
        <v>4</v>
      </c>
    </row>
    <row r="253" customFormat="false" ht="15" hidden="false" customHeight="false" outlineLevel="0" collapsed="false">
      <c r="A253" s="12" t="s">
        <v>36</v>
      </c>
      <c r="B253" s="7" t="s">
        <v>37</v>
      </c>
      <c r="C253" s="12" t="s">
        <v>88</v>
      </c>
      <c r="D253" s="7" t="s">
        <v>31</v>
      </c>
      <c r="E253" s="7" t="s">
        <v>32</v>
      </c>
      <c r="F253" s="12" t="n">
        <f aca="false">IF(D253=E253,1,0)</f>
        <v>0</v>
      </c>
      <c r="G253" s="13" t="n">
        <v>-0.0701030927835051</v>
      </c>
      <c r="H253" s="14" t="n">
        <v>0.306792186169757</v>
      </c>
      <c r="I253" s="14" t="n">
        <v>0.226135181930543</v>
      </c>
      <c r="J253" s="14" t="n">
        <v>0.467072631899701</v>
      </c>
      <c r="K253" s="12" t="s">
        <v>86</v>
      </c>
      <c r="L253" s="15" t="n">
        <v>1071</v>
      </c>
      <c r="M253" s="15" t="n">
        <v>4</v>
      </c>
    </row>
    <row r="254" customFormat="false" ht="15" hidden="false" customHeight="false" outlineLevel="0" collapsed="false">
      <c r="A254" s="12" t="s">
        <v>38</v>
      </c>
      <c r="B254" s="7" t="s">
        <v>39</v>
      </c>
      <c r="C254" s="12" t="s">
        <v>88</v>
      </c>
      <c r="D254" s="7" t="s">
        <v>31</v>
      </c>
      <c r="E254" s="7" t="s">
        <v>32</v>
      </c>
      <c r="F254" s="12" t="n">
        <f aca="false">IF(D254=E254,1,0)</f>
        <v>0</v>
      </c>
      <c r="G254" s="13" t="n">
        <v>-0.0858085808580858</v>
      </c>
      <c r="H254" s="14" t="n">
        <v>0.295123072781891</v>
      </c>
      <c r="I254" s="14" t="n">
        <v>0.214466626622716</v>
      </c>
      <c r="J254" s="14" t="n">
        <v>0.490410300595393</v>
      </c>
      <c r="K254" s="12" t="s">
        <v>86</v>
      </c>
      <c r="L254" s="15" t="n">
        <v>1071</v>
      </c>
      <c r="M254" s="15" t="n">
        <v>4</v>
      </c>
    </row>
    <row r="255" customFormat="false" ht="15" hidden="false" customHeight="false" outlineLevel="0" collapsed="false">
      <c r="A255" s="12" t="s">
        <v>41</v>
      </c>
      <c r="B255" s="7" t="s">
        <v>42</v>
      </c>
      <c r="C255" s="12" t="s">
        <v>88</v>
      </c>
      <c r="D255" s="7" t="s">
        <v>31</v>
      </c>
      <c r="E255" s="7" t="s">
        <v>32</v>
      </c>
      <c r="F255" s="12" t="n">
        <f aca="false">IF(D255=E255,1,0)</f>
        <v>0</v>
      </c>
      <c r="G255" s="13" t="n">
        <v>-0.0590717299578058</v>
      </c>
      <c r="H255" s="14" t="n">
        <v>0.301041079038596</v>
      </c>
      <c r="I255" s="14" t="n">
        <v>0.264713589903809</v>
      </c>
      <c r="J255" s="14" t="n">
        <v>0.434245331057595</v>
      </c>
      <c r="K255" s="12" t="s">
        <v>86</v>
      </c>
      <c r="L255" s="15" t="n">
        <v>1071</v>
      </c>
      <c r="M255" s="15" t="n">
        <v>4</v>
      </c>
    </row>
    <row r="256" customFormat="false" ht="15" hidden="false" customHeight="false" outlineLevel="0" collapsed="false">
      <c r="A256" s="12" t="s">
        <v>43</v>
      </c>
      <c r="B256" s="7" t="s">
        <v>44</v>
      </c>
      <c r="C256" s="12" t="s">
        <v>88</v>
      </c>
      <c r="D256" s="7" t="s">
        <v>31</v>
      </c>
      <c r="E256" s="7" t="s">
        <v>31</v>
      </c>
      <c r="F256" s="12" t="n">
        <f aca="false">IF(D256=E256,1,0)</f>
        <v>1</v>
      </c>
      <c r="G256" s="13" t="n">
        <v>0.0882352941176471</v>
      </c>
      <c r="H256" s="14" t="n">
        <v>0.298999556318486</v>
      </c>
      <c r="I256" s="14" t="n">
        <v>0.269688670183797</v>
      </c>
      <c r="J256" s="14" t="n">
        <v>0.431311773497717</v>
      </c>
      <c r="K256" s="12" t="s">
        <v>86</v>
      </c>
      <c r="L256" s="15" t="n">
        <v>1071</v>
      </c>
      <c r="M256" s="15" t="n">
        <v>4</v>
      </c>
    </row>
    <row r="257" customFormat="false" ht="15" hidden="false" customHeight="false" outlineLevel="0" collapsed="false">
      <c r="A257" s="12" t="s">
        <v>28</v>
      </c>
      <c r="B257" s="7" t="s">
        <v>29</v>
      </c>
      <c r="C257" s="12" t="s">
        <v>89</v>
      </c>
      <c r="D257" s="7" t="s">
        <v>31</v>
      </c>
      <c r="E257" s="7" t="s">
        <v>32</v>
      </c>
      <c r="F257" s="12" t="n">
        <f aca="false">IF(D257=E257,1,0)</f>
        <v>0</v>
      </c>
      <c r="G257" s="13" t="n">
        <v>-0.109278350515464</v>
      </c>
      <c r="H257" s="14" t="n">
        <v>0.319235130545048</v>
      </c>
      <c r="I257" s="14" t="n">
        <v>0.217157166540567</v>
      </c>
      <c r="J257" s="14" t="n">
        <v>0.463607702914385</v>
      </c>
      <c r="K257" s="12" t="s">
        <v>86</v>
      </c>
      <c r="L257" s="15" t="n">
        <v>1071</v>
      </c>
      <c r="M257" s="15" t="n">
        <v>4</v>
      </c>
    </row>
    <row r="258" customFormat="false" ht="15" hidden="false" customHeight="false" outlineLevel="0" collapsed="false">
      <c r="A258" s="12" t="s">
        <v>34</v>
      </c>
      <c r="B258" s="7" t="s">
        <v>35</v>
      </c>
      <c r="C258" s="12" t="s">
        <v>89</v>
      </c>
      <c r="D258" s="7" t="s">
        <v>31</v>
      </c>
      <c r="E258" s="7" t="s">
        <v>32</v>
      </c>
      <c r="F258" s="12" t="n">
        <f aca="false">IF(D258=E258,1,0)</f>
        <v>0</v>
      </c>
      <c r="G258" s="13" t="n">
        <v>-0.117747440273038</v>
      </c>
      <c r="H258" s="14" t="n">
        <v>0.286506422242187</v>
      </c>
      <c r="I258" s="14" t="n">
        <v>0.234906276519699</v>
      </c>
      <c r="J258" s="14" t="n">
        <v>0.478587301238114</v>
      </c>
      <c r="K258" s="12" t="s">
        <v>86</v>
      </c>
      <c r="L258" s="15" t="n">
        <v>1071</v>
      </c>
      <c r="M258" s="15" t="n">
        <v>4</v>
      </c>
    </row>
    <row r="259" customFormat="false" ht="15" hidden="false" customHeight="false" outlineLevel="0" collapsed="false">
      <c r="A259" s="12" t="s">
        <v>36</v>
      </c>
      <c r="B259" s="7" t="s">
        <v>37</v>
      </c>
      <c r="C259" s="12" t="s">
        <v>89</v>
      </c>
      <c r="D259" s="7" t="s">
        <v>31</v>
      </c>
      <c r="E259" s="7" t="s">
        <v>32</v>
      </c>
      <c r="F259" s="12" t="n">
        <f aca="false">IF(D259=E259,1,0)</f>
        <v>0</v>
      </c>
      <c r="G259" s="13" t="n">
        <v>-0.0566037735849056</v>
      </c>
      <c r="H259" s="14" t="n">
        <v>0.312146216016936</v>
      </c>
      <c r="I259" s="14" t="n">
        <v>0.218634324093817</v>
      </c>
      <c r="J259" s="14" t="n">
        <v>0.469219459889246</v>
      </c>
      <c r="K259" s="12" t="s">
        <v>86</v>
      </c>
      <c r="L259" s="15" t="n">
        <v>1071</v>
      </c>
      <c r="M259" s="15" t="n">
        <v>4</v>
      </c>
    </row>
    <row r="260" customFormat="false" ht="15" hidden="false" customHeight="false" outlineLevel="0" collapsed="false">
      <c r="A260" s="12" t="s">
        <v>38</v>
      </c>
      <c r="B260" s="7" t="s">
        <v>39</v>
      </c>
      <c r="C260" s="12" t="s">
        <v>89</v>
      </c>
      <c r="D260" s="7" t="s">
        <v>31</v>
      </c>
      <c r="E260" s="7" t="s">
        <v>32</v>
      </c>
      <c r="F260" s="12" t="n">
        <f aca="false">IF(D260=E260,1,0)</f>
        <v>0</v>
      </c>
      <c r="G260" s="13" t="n">
        <v>-0.0778781038374717</v>
      </c>
      <c r="H260" s="14" t="n">
        <v>0.298724103917004</v>
      </c>
      <c r="I260" s="14" t="n">
        <v>0.217025046696693</v>
      </c>
      <c r="J260" s="14" t="n">
        <v>0.484250849386304</v>
      </c>
      <c r="K260" s="12" t="s">
        <v>86</v>
      </c>
      <c r="L260" s="15" t="n">
        <v>1071</v>
      </c>
      <c r="M260" s="15" t="n">
        <v>4</v>
      </c>
    </row>
    <row r="261" customFormat="false" ht="15" hidden="false" customHeight="false" outlineLevel="0" collapsed="false">
      <c r="A261" s="12" t="s">
        <v>41</v>
      </c>
      <c r="B261" s="7" t="s">
        <v>42</v>
      </c>
      <c r="C261" s="12" t="s">
        <v>89</v>
      </c>
      <c r="D261" s="7" t="s">
        <v>31</v>
      </c>
      <c r="E261" s="7" t="s">
        <v>32</v>
      </c>
      <c r="F261" s="12" t="n">
        <f aca="false">IF(D261=E261,1,0)</f>
        <v>0</v>
      </c>
      <c r="G261" s="13" t="n">
        <v>-0.0423728813559322</v>
      </c>
      <c r="H261" s="14" t="n">
        <v>0.308131783303269</v>
      </c>
      <c r="I261" s="14" t="n">
        <v>0.247394696082155</v>
      </c>
      <c r="J261" s="14" t="n">
        <v>0.444473520614576</v>
      </c>
      <c r="K261" s="12" t="s">
        <v>86</v>
      </c>
      <c r="L261" s="15" t="n">
        <v>1071</v>
      </c>
      <c r="M261" s="15" t="n">
        <v>4</v>
      </c>
    </row>
    <row r="262" customFormat="false" ht="15" hidden="false" customHeight="false" outlineLevel="0" collapsed="false">
      <c r="A262" s="12" t="s">
        <v>43</v>
      </c>
      <c r="B262" s="7" t="s">
        <v>44</v>
      </c>
      <c r="C262" s="12" t="s">
        <v>89</v>
      </c>
      <c r="D262" s="7" t="s">
        <v>31</v>
      </c>
      <c r="E262" s="7" t="s">
        <v>31</v>
      </c>
      <c r="F262" s="12" t="n">
        <f aca="false">IF(D262=E262,1,0)</f>
        <v>1</v>
      </c>
      <c r="G262" s="13" t="n">
        <v>0.0646186440677965</v>
      </c>
      <c r="H262" s="14" t="n">
        <v>0.297408441190158</v>
      </c>
      <c r="I262" s="14" t="n">
        <v>0.27157793263448</v>
      </c>
      <c r="J262" s="14" t="n">
        <v>0.431013626175362</v>
      </c>
      <c r="K262" s="12" t="s">
        <v>86</v>
      </c>
      <c r="L262" s="15" t="n">
        <v>1071</v>
      </c>
      <c r="M262" s="15" t="n">
        <v>4</v>
      </c>
    </row>
    <row r="263" customFormat="false" ht="15" hidden="false" customHeight="false" outlineLevel="0" collapsed="false">
      <c r="A263" s="12" t="s">
        <v>28</v>
      </c>
      <c r="B263" s="7" t="s">
        <v>29</v>
      </c>
      <c r="C263" s="12" t="s">
        <v>90</v>
      </c>
      <c r="D263" s="7" t="s">
        <v>31</v>
      </c>
      <c r="E263" s="7" t="s">
        <v>32</v>
      </c>
      <c r="F263" s="12" t="n">
        <f aca="false">IF(D263=E263,1,0)</f>
        <v>0</v>
      </c>
      <c r="G263" s="13" t="n">
        <v>-0.0369565217391304</v>
      </c>
      <c r="H263" s="14" t="n">
        <v>0.284242233331092</v>
      </c>
      <c r="I263" s="14" t="n">
        <v>0.22589091180394</v>
      </c>
      <c r="J263" s="14" t="n">
        <v>0.489866854864968</v>
      </c>
      <c r="K263" s="12" t="s">
        <v>86</v>
      </c>
      <c r="L263" s="15" t="n">
        <v>1071</v>
      </c>
      <c r="M263" s="15" t="n">
        <v>4</v>
      </c>
    </row>
    <row r="264" customFormat="false" ht="15" hidden="false" customHeight="false" outlineLevel="0" collapsed="false">
      <c r="A264" s="12" t="s">
        <v>34</v>
      </c>
      <c r="B264" s="7" t="s">
        <v>35</v>
      </c>
      <c r="C264" s="12" t="s">
        <v>90</v>
      </c>
      <c r="D264" s="7" t="s">
        <v>31</v>
      </c>
      <c r="E264" s="7" t="s">
        <v>32</v>
      </c>
      <c r="F264" s="12" t="n">
        <f aca="false">IF(D264=E264,1,0)</f>
        <v>0</v>
      </c>
      <c r="G264" s="13" t="n">
        <v>-0.0843585237258347</v>
      </c>
      <c r="H264" s="14" t="n">
        <v>0.310906209800116</v>
      </c>
      <c r="I264" s="14" t="n">
        <v>0.220409169277478</v>
      </c>
      <c r="J264" s="14" t="n">
        <v>0.468684620922406</v>
      </c>
      <c r="K264" s="12" t="s">
        <v>86</v>
      </c>
      <c r="L264" s="15" t="n">
        <v>1071</v>
      </c>
      <c r="M264" s="15" t="n">
        <v>4</v>
      </c>
    </row>
    <row r="265" customFormat="false" ht="15" hidden="false" customHeight="false" outlineLevel="0" collapsed="false">
      <c r="A265" s="12" t="s">
        <v>36</v>
      </c>
      <c r="B265" s="7" t="s">
        <v>37</v>
      </c>
      <c r="C265" s="12" t="s">
        <v>90</v>
      </c>
      <c r="D265" s="7" t="s">
        <v>31</v>
      </c>
      <c r="E265" s="7" t="s">
        <v>32</v>
      </c>
      <c r="F265" s="12" t="n">
        <f aca="false">IF(D265=E265,1,0)</f>
        <v>0</v>
      </c>
      <c r="G265" s="13" t="n">
        <v>-0.0232558139534884</v>
      </c>
      <c r="H265" s="14" t="n">
        <v>0.323901232224796</v>
      </c>
      <c r="I265" s="14" t="n">
        <v>0.247344218401596</v>
      </c>
      <c r="J265" s="14" t="n">
        <v>0.428754549373608</v>
      </c>
      <c r="K265" s="12" t="s">
        <v>86</v>
      </c>
      <c r="L265" s="15" t="n">
        <v>1071</v>
      </c>
      <c r="M265" s="15" t="n">
        <v>4</v>
      </c>
    </row>
    <row r="266" customFormat="false" ht="15" hidden="false" customHeight="false" outlineLevel="0" collapsed="false">
      <c r="A266" s="12" t="s">
        <v>38</v>
      </c>
      <c r="B266" s="7" t="s">
        <v>39</v>
      </c>
      <c r="C266" s="12" t="s">
        <v>90</v>
      </c>
      <c r="D266" s="7" t="s">
        <v>31</v>
      </c>
      <c r="E266" s="7" t="s">
        <v>32</v>
      </c>
      <c r="F266" s="12" t="n">
        <f aca="false">IF(D266=E266,1,0)</f>
        <v>0</v>
      </c>
      <c r="G266" s="13" t="n">
        <v>-0.027906976744186</v>
      </c>
      <c r="H266" s="14" t="n">
        <v>0.297752416749052</v>
      </c>
      <c r="I266" s="14" t="n">
        <v>0.220929953540858</v>
      </c>
      <c r="J266" s="14" t="n">
        <v>0.48131762971009</v>
      </c>
      <c r="K266" s="12" t="s">
        <v>86</v>
      </c>
      <c r="L266" s="15" t="n">
        <v>1071</v>
      </c>
      <c r="M266" s="15" t="n">
        <v>4</v>
      </c>
    </row>
    <row r="267" customFormat="false" ht="15" hidden="false" customHeight="false" outlineLevel="0" collapsed="false">
      <c r="A267" s="12" t="s">
        <v>41</v>
      </c>
      <c r="B267" s="7" t="s">
        <v>42</v>
      </c>
      <c r="C267" s="12" t="s">
        <v>90</v>
      </c>
      <c r="D267" s="7" t="s">
        <v>31</v>
      </c>
      <c r="E267" s="7" t="s">
        <v>32</v>
      </c>
      <c r="F267" s="12" t="n">
        <f aca="false">IF(D267=E267,1,0)</f>
        <v>0</v>
      </c>
      <c r="G267" s="13" t="n">
        <v>-0.0172413793103448</v>
      </c>
      <c r="H267" s="14" t="n">
        <v>0.320758173233793</v>
      </c>
      <c r="I267" s="14" t="n">
        <v>0.22591496656807</v>
      </c>
      <c r="J267" s="14" t="n">
        <v>0.453326860198137</v>
      </c>
      <c r="K267" s="12" t="s">
        <v>86</v>
      </c>
      <c r="L267" s="15" t="n">
        <v>1071</v>
      </c>
      <c r="M267" s="15" t="n">
        <v>4</v>
      </c>
    </row>
    <row r="268" customFormat="false" ht="15" hidden="false" customHeight="false" outlineLevel="0" collapsed="false">
      <c r="A268" s="12" t="s">
        <v>43</v>
      </c>
      <c r="B268" s="7" t="s">
        <v>44</v>
      </c>
      <c r="C268" s="12" t="s">
        <v>90</v>
      </c>
      <c r="D268" s="7" t="s">
        <v>31</v>
      </c>
      <c r="E268" s="7" t="s">
        <v>40</v>
      </c>
      <c r="F268" s="12" t="n">
        <f aca="false">IF(D268=E268,1,0)</f>
        <v>0</v>
      </c>
      <c r="G268" s="13" t="n">
        <v>0.0049999999999998</v>
      </c>
      <c r="H268" s="14" t="n">
        <v>0.291093930138933</v>
      </c>
      <c r="I268" s="14" t="n">
        <v>0.274018727482334</v>
      </c>
      <c r="J268" s="14" t="n">
        <v>0.434887342378732</v>
      </c>
      <c r="K268" s="12" t="s">
        <v>86</v>
      </c>
      <c r="L268" s="15" t="n">
        <v>1071</v>
      </c>
      <c r="M268" s="15" t="n">
        <v>4</v>
      </c>
    </row>
    <row r="269" customFormat="false" ht="15" hidden="false" customHeight="false" outlineLevel="0" collapsed="false">
      <c r="A269" s="12" t="s">
        <v>28</v>
      </c>
      <c r="B269" s="7" t="s">
        <v>29</v>
      </c>
      <c r="C269" s="12" t="s">
        <v>91</v>
      </c>
      <c r="D269" s="7" t="s">
        <v>31</v>
      </c>
      <c r="E269" s="7" t="s">
        <v>32</v>
      </c>
      <c r="F269" s="12" t="n">
        <f aca="false">IF(D269=E269,1,0)</f>
        <v>0</v>
      </c>
      <c r="G269" s="13" t="n">
        <v>-0.0199556541019955</v>
      </c>
      <c r="H269" s="14" t="n">
        <v>0.278356913879407</v>
      </c>
      <c r="I269" s="14" t="n">
        <v>0.229700033835104</v>
      </c>
      <c r="J269" s="14" t="n">
        <v>0.49194305228549</v>
      </c>
      <c r="K269" s="12" t="s">
        <v>86</v>
      </c>
      <c r="L269" s="15" t="n">
        <v>1071</v>
      </c>
      <c r="M269" s="15" t="n">
        <v>4</v>
      </c>
    </row>
    <row r="270" customFormat="false" ht="15" hidden="false" customHeight="false" outlineLevel="0" collapsed="false">
      <c r="A270" s="12" t="s">
        <v>34</v>
      </c>
      <c r="B270" s="7" t="s">
        <v>35</v>
      </c>
      <c r="C270" s="12" t="s">
        <v>91</v>
      </c>
      <c r="D270" s="7" t="s">
        <v>31</v>
      </c>
      <c r="E270" s="7" t="s">
        <v>40</v>
      </c>
      <c r="F270" s="12" t="n">
        <f aca="false">IF(D270=E270,1,0)</f>
        <v>0</v>
      </c>
      <c r="G270" s="13" t="n">
        <v>-0.0074211502782931</v>
      </c>
      <c r="H270" s="14" t="n">
        <v>0.286139347847594</v>
      </c>
      <c r="I270" s="14" t="n">
        <v>0.232787925503446</v>
      </c>
      <c r="J270" s="14" t="n">
        <v>0.48107272664896</v>
      </c>
      <c r="K270" s="12" t="s">
        <v>86</v>
      </c>
      <c r="L270" s="15" t="n">
        <v>1071</v>
      </c>
      <c r="M270" s="15" t="n">
        <v>4</v>
      </c>
    </row>
    <row r="271" customFormat="false" ht="15" hidden="false" customHeight="false" outlineLevel="0" collapsed="false">
      <c r="A271" s="12" t="s">
        <v>36</v>
      </c>
      <c r="B271" s="7" t="s">
        <v>37</v>
      </c>
      <c r="C271" s="12" t="s">
        <v>91</v>
      </c>
      <c r="D271" s="7" t="s">
        <v>31</v>
      </c>
      <c r="E271" s="7" t="s">
        <v>31</v>
      </c>
      <c r="F271" s="12" t="n">
        <f aca="false">IF(D271=E271,1,0)</f>
        <v>1</v>
      </c>
      <c r="G271" s="13" t="n">
        <v>0.0348583877995642</v>
      </c>
      <c r="H271" s="14" t="n">
        <v>0.296983911796517</v>
      </c>
      <c r="I271" s="14" t="n">
        <v>0.248823416172223</v>
      </c>
      <c r="J271" s="14" t="n">
        <v>0.454192672031261</v>
      </c>
      <c r="K271" s="12" t="s">
        <v>86</v>
      </c>
      <c r="L271" s="15" t="n">
        <v>1071</v>
      </c>
      <c r="M271" s="15" t="n">
        <v>4</v>
      </c>
    </row>
    <row r="272" customFormat="false" ht="15" hidden="false" customHeight="false" outlineLevel="0" collapsed="false">
      <c r="A272" s="12" t="s">
        <v>38</v>
      </c>
      <c r="B272" s="7" t="s">
        <v>39</v>
      </c>
      <c r="C272" s="12" t="s">
        <v>91</v>
      </c>
      <c r="D272" s="7" t="s">
        <v>31</v>
      </c>
      <c r="E272" s="7" t="s">
        <v>31</v>
      </c>
      <c r="F272" s="12" t="n">
        <f aca="false">IF(D272=E272,1,0)</f>
        <v>1</v>
      </c>
      <c r="G272" s="13" t="n">
        <v>0.0982800982800982</v>
      </c>
      <c r="H272" s="14" t="n">
        <v>0.295656334475749</v>
      </c>
      <c r="I272" s="14" t="n">
        <v>0.237704428716122</v>
      </c>
      <c r="J272" s="14" t="n">
        <v>0.466639236808129</v>
      </c>
      <c r="K272" s="12" t="s">
        <v>86</v>
      </c>
      <c r="L272" s="15" t="n">
        <v>1071</v>
      </c>
      <c r="M272" s="15" t="n">
        <v>4</v>
      </c>
    </row>
    <row r="273" customFormat="false" ht="15" hidden="false" customHeight="false" outlineLevel="0" collapsed="false">
      <c r="A273" s="12" t="s">
        <v>41</v>
      </c>
      <c r="B273" s="7" t="s">
        <v>42</v>
      </c>
      <c r="C273" s="12" t="s">
        <v>91</v>
      </c>
      <c r="D273" s="7" t="s">
        <v>31</v>
      </c>
      <c r="E273" s="7" t="s">
        <v>40</v>
      </c>
      <c r="F273" s="12" t="n">
        <f aca="false">IF(D273=E273,1,0)</f>
        <v>0</v>
      </c>
      <c r="G273" s="13" t="n">
        <v>0.0022321428571427</v>
      </c>
      <c r="H273" s="14" t="n">
        <v>0.311354199123884</v>
      </c>
      <c r="I273" s="14" t="n">
        <v>0.236166849788693</v>
      </c>
      <c r="J273" s="14" t="n">
        <v>0.452478951087424</v>
      </c>
      <c r="K273" s="12" t="s">
        <v>86</v>
      </c>
      <c r="L273" s="15" t="n">
        <v>1071</v>
      </c>
      <c r="M273" s="15" t="n">
        <v>4</v>
      </c>
    </row>
    <row r="274" customFormat="false" ht="15" hidden="false" customHeight="false" outlineLevel="0" collapsed="false">
      <c r="A274" s="12" t="s">
        <v>43</v>
      </c>
      <c r="B274" s="7" t="s">
        <v>44</v>
      </c>
      <c r="C274" s="12" t="s">
        <v>91</v>
      </c>
      <c r="D274" s="7" t="s">
        <v>31</v>
      </c>
      <c r="E274" s="7" t="s">
        <v>31</v>
      </c>
      <c r="F274" s="12" t="n">
        <f aca="false">IF(D274=E274,1,0)</f>
        <v>1</v>
      </c>
      <c r="G274" s="13" t="n">
        <v>0.0947368421052632</v>
      </c>
      <c r="H274" s="14" t="n">
        <v>0.293615384749955</v>
      </c>
      <c r="I274" s="14" t="n">
        <v>0.229450270835512</v>
      </c>
      <c r="J274" s="14" t="n">
        <v>0.476934344414533</v>
      </c>
      <c r="K274" s="12" t="s">
        <v>86</v>
      </c>
      <c r="L274" s="15" t="n">
        <v>1071</v>
      </c>
      <c r="M274" s="15" t="n">
        <v>4</v>
      </c>
    </row>
    <row r="275" customFormat="false" ht="15" hidden="false" customHeight="false" outlineLevel="0" collapsed="false">
      <c r="A275" s="12" t="s">
        <v>28</v>
      </c>
      <c r="B275" s="7" t="s">
        <v>29</v>
      </c>
      <c r="C275" s="12" t="s">
        <v>92</v>
      </c>
      <c r="D275" s="7" t="s">
        <v>31</v>
      </c>
      <c r="E275" s="7" t="s">
        <v>32</v>
      </c>
      <c r="F275" s="12" t="n">
        <f aca="false">IF(D275=E275,1,0)</f>
        <v>0</v>
      </c>
      <c r="G275" s="13" t="n">
        <v>-0.0766045548654243</v>
      </c>
      <c r="H275" s="14" t="n">
        <v>0.285269519988126</v>
      </c>
      <c r="I275" s="14" t="n">
        <v>0.219472633855768</v>
      </c>
      <c r="J275" s="14" t="n">
        <v>0.495257846156106</v>
      </c>
      <c r="K275" s="12" t="s">
        <v>86</v>
      </c>
      <c r="L275" s="15" t="n">
        <v>1071</v>
      </c>
      <c r="M275" s="15" t="n">
        <v>4</v>
      </c>
    </row>
    <row r="276" customFormat="false" ht="15" hidden="false" customHeight="false" outlineLevel="0" collapsed="false">
      <c r="A276" s="12" t="s">
        <v>34</v>
      </c>
      <c r="B276" s="7" t="s">
        <v>35</v>
      </c>
      <c r="C276" s="12" t="s">
        <v>92</v>
      </c>
      <c r="D276" s="7" t="s">
        <v>31</v>
      </c>
      <c r="E276" s="7" t="s">
        <v>32</v>
      </c>
      <c r="F276" s="12" t="n">
        <f aca="false">IF(D276=E276,1,0)</f>
        <v>0</v>
      </c>
      <c r="G276" s="13" t="n">
        <v>-0.0306306306306306</v>
      </c>
      <c r="H276" s="14" t="n">
        <v>0.296378273129874</v>
      </c>
      <c r="I276" s="14" t="n">
        <v>0.226099189407464</v>
      </c>
      <c r="J276" s="14" t="n">
        <v>0.477522537462662</v>
      </c>
      <c r="K276" s="12" t="s">
        <v>86</v>
      </c>
      <c r="L276" s="15" t="n">
        <v>1071</v>
      </c>
      <c r="M276" s="15" t="n">
        <v>4</v>
      </c>
    </row>
    <row r="277" customFormat="false" ht="15" hidden="false" customHeight="false" outlineLevel="0" collapsed="false">
      <c r="A277" s="12" t="s">
        <v>36</v>
      </c>
      <c r="B277" s="7" t="s">
        <v>37</v>
      </c>
      <c r="C277" s="12" t="s">
        <v>92</v>
      </c>
      <c r="D277" s="7" t="s">
        <v>31</v>
      </c>
      <c r="E277" s="7" t="s">
        <v>31</v>
      </c>
      <c r="F277" s="12" t="n">
        <f aca="false">IF(D277=E277,1,0)</f>
        <v>1</v>
      </c>
      <c r="G277" s="13" t="n">
        <v>0.0412147505422992</v>
      </c>
      <c r="H277" s="14" t="n">
        <v>0.304855968403629</v>
      </c>
      <c r="I277" s="14" t="n">
        <v>0.246663145714426</v>
      </c>
      <c r="J277" s="14" t="n">
        <v>0.448480885881944</v>
      </c>
      <c r="K277" s="12" t="s">
        <v>86</v>
      </c>
      <c r="L277" s="15" t="n">
        <v>1071</v>
      </c>
      <c r="M277" s="15" t="n">
        <v>4</v>
      </c>
    </row>
    <row r="278" customFormat="false" ht="15" hidden="false" customHeight="false" outlineLevel="0" collapsed="false">
      <c r="A278" s="12" t="s">
        <v>38</v>
      </c>
      <c r="B278" s="7" t="s">
        <v>39</v>
      </c>
      <c r="C278" s="12" t="s">
        <v>92</v>
      </c>
      <c r="D278" s="7" t="s">
        <v>31</v>
      </c>
      <c r="E278" s="7" t="s">
        <v>31</v>
      </c>
      <c r="F278" s="12" t="n">
        <f aca="false">IF(D278=E278,1,0)</f>
        <v>1</v>
      </c>
      <c r="G278" s="13" t="n">
        <v>0.0189944134078212</v>
      </c>
      <c r="H278" s="14" t="n">
        <v>0.285269519988126</v>
      </c>
      <c r="I278" s="14" t="n">
        <v>0.219472633855768</v>
      </c>
      <c r="J278" s="14" t="n">
        <v>0.495257846156106</v>
      </c>
      <c r="K278" s="12" t="s">
        <v>86</v>
      </c>
      <c r="L278" s="15" t="n">
        <v>1071</v>
      </c>
      <c r="M278" s="15" t="n">
        <v>4</v>
      </c>
    </row>
    <row r="279" customFormat="false" ht="15" hidden="false" customHeight="false" outlineLevel="0" collapsed="false">
      <c r="A279" s="12" t="s">
        <v>41</v>
      </c>
      <c r="B279" s="7" t="s">
        <v>42</v>
      </c>
      <c r="C279" s="12" t="s">
        <v>92</v>
      </c>
      <c r="D279" s="7" t="s">
        <v>31</v>
      </c>
      <c r="E279" s="7" t="s">
        <v>40</v>
      </c>
      <c r="F279" s="12" t="n">
        <f aca="false">IF(D279=E279,1,0)</f>
        <v>0</v>
      </c>
      <c r="G279" s="13" t="n">
        <v>-0.0067567567567567</v>
      </c>
      <c r="H279" s="14" t="n">
        <v>0.321971600515128</v>
      </c>
      <c r="I279" s="14" t="n">
        <v>0.227102616392016</v>
      </c>
      <c r="J279" s="14" t="n">
        <v>0.450925783092856</v>
      </c>
      <c r="K279" s="12" t="s">
        <v>86</v>
      </c>
      <c r="L279" s="15" t="n">
        <v>1071</v>
      </c>
      <c r="M279" s="15" t="n">
        <v>4</v>
      </c>
    </row>
    <row r="280" customFormat="false" ht="15" hidden="false" customHeight="false" outlineLevel="0" collapsed="false">
      <c r="A280" s="12" t="s">
        <v>43</v>
      </c>
      <c r="B280" s="7" t="s">
        <v>44</v>
      </c>
      <c r="C280" s="12" t="s">
        <v>92</v>
      </c>
      <c r="D280" s="7" t="s">
        <v>31</v>
      </c>
      <c r="E280" s="7" t="s">
        <v>31</v>
      </c>
      <c r="F280" s="12" t="n">
        <f aca="false">IF(D280=E280,1,0)</f>
        <v>1</v>
      </c>
      <c r="G280" s="13" t="n">
        <v>0.0528846153846154</v>
      </c>
      <c r="H280" s="14" t="n">
        <v>0.290343740860226</v>
      </c>
      <c r="I280" s="14" t="n">
        <v>0.229879762633672</v>
      </c>
      <c r="J280" s="14" t="n">
        <v>0.479776496506102</v>
      </c>
      <c r="K280" s="12" t="s">
        <v>86</v>
      </c>
      <c r="L280" s="15" t="n">
        <v>1071</v>
      </c>
      <c r="M280" s="15" t="n">
        <v>4</v>
      </c>
    </row>
    <row r="281" customFormat="false" ht="15" hidden="false" customHeight="false" outlineLevel="0" collapsed="false">
      <c r="A281" s="12" t="s">
        <v>28</v>
      </c>
      <c r="B281" s="7" t="s">
        <v>29</v>
      </c>
      <c r="C281" s="12" t="s">
        <v>93</v>
      </c>
      <c r="D281" s="7" t="s">
        <v>31</v>
      </c>
      <c r="E281" s="7" t="s">
        <v>32</v>
      </c>
      <c r="F281" s="12" t="n">
        <f aca="false">IF(D281=E281,1,0)</f>
        <v>0</v>
      </c>
      <c r="G281" s="13" t="n">
        <v>-0.0204545454545455</v>
      </c>
      <c r="H281" s="14" t="n">
        <v>0.296619431298307</v>
      </c>
      <c r="I281" s="14" t="n">
        <v>0.231872479279681</v>
      </c>
      <c r="J281" s="14" t="n">
        <v>0.471508089422012</v>
      </c>
      <c r="K281" s="12" t="s">
        <v>86</v>
      </c>
      <c r="L281" s="15" t="n">
        <v>1071</v>
      </c>
      <c r="M281" s="15" t="n">
        <v>4</v>
      </c>
    </row>
    <row r="282" customFormat="false" ht="15" hidden="false" customHeight="false" outlineLevel="0" collapsed="false">
      <c r="A282" s="12" t="s">
        <v>34</v>
      </c>
      <c r="B282" s="7" t="s">
        <v>35</v>
      </c>
      <c r="C282" s="12" t="s">
        <v>93</v>
      </c>
      <c r="D282" s="7" t="s">
        <v>31</v>
      </c>
      <c r="E282" s="7" t="s">
        <v>31</v>
      </c>
      <c r="F282" s="12" t="n">
        <f aca="false">IF(D282=E282,1,0)</f>
        <v>1</v>
      </c>
      <c r="G282" s="13" t="n">
        <v>0.0342205323193915</v>
      </c>
      <c r="H282" s="14" t="n">
        <v>0.302097465063195</v>
      </c>
      <c r="I282" s="14" t="n">
        <v>0.243036170974135</v>
      </c>
      <c r="J282" s="14" t="n">
        <v>0.45486636396267</v>
      </c>
      <c r="K282" s="12" t="s">
        <v>86</v>
      </c>
      <c r="L282" s="15" t="n">
        <v>1071</v>
      </c>
      <c r="M282" s="15" t="n">
        <v>4</v>
      </c>
    </row>
    <row r="283" customFormat="false" ht="15" hidden="false" customHeight="false" outlineLevel="0" collapsed="false">
      <c r="A283" s="12" t="s">
        <v>36</v>
      </c>
      <c r="B283" s="7" t="s">
        <v>37</v>
      </c>
      <c r="C283" s="12" t="s">
        <v>93</v>
      </c>
      <c r="D283" s="7" t="s">
        <v>31</v>
      </c>
      <c r="E283" s="7" t="s">
        <v>31</v>
      </c>
      <c r="F283" s="12" t="n">
        <f aca="false">IF(D283=E283,1,0)</f>
        <v>1</v>
      </c>
      <c r="G283" s="13" t="n">
        <v>0.0576496674057649</v>
      </c>
      <c r="H283" s="14" t="n">
        <v>0.295013331688069</v>
      </c>
      <c r="I283" s="14" t="n">
        <v>0.269775666878569</v>
      </c>
      <c r="J283" s="14" t="n">
        <v>0.435211001433362</v>
      </c>
      <c r="K283" s="12" t="s">
        <v>86</v>
      </c>
      <c r="L283" s="15" t="n">
        <v>1071</v>
      </c>
      <c r="M283" s="15" t="n">
        <v>4</v>
      </c>
    </row>
    <row r="284" customFormat="false" ht="15" hidden="false" customHeight="false" outlineLevel="0" collapsed="false">
      <c r="A284" s="12" t="s">
        <v>38</v>
      </c>
      <c r="B284" s="7" t="s">
        <v>39</v>
      </c>
      <c r="C284" s="12" t="s">
        <v>93</v>
      </c>
      <c r="D284" s="7" t="s">
        <v>31</v>
      </c>
      <c r="E284" s="7" t="s">
        <v>31</v>
      </c>
      <c r="F284" s="12" t="n">
        <f aca="false">IF(D284=E284,1,0)</f>
        <v>1</v>
      </c>
      <c r="G284" s="13" t="n">
        <v>0.0734055354993983</v>
      </c>
      <c r="H284" s="14" t="n">
        <v>0.297724829632856</v>
      </c>
      <c r="I284" s="14" t="n">
        <v>0.229009932890158</v>
      </c>
      <c r="J284" s="14" t="n">
        <v>0.473265237476987</v>
      </c>
      <c r="K284" s="12" t="s">
        <v>86</v>
      </c>
      <c r="L284" s="15" t="n">
        <v>1071</v>
      </c>
      <c r="M284" s="15" t="n">
        <v>4</v>
      </c>
    </row>
    <row r="285" customFormat="false" ht="15" hidden="false" customHeight="false" outlineLevel="0" collapsed="false">
      <c r="A285" s="12" t="s">
        <v>41</v>
      </c>
      <c r="B285" s="7" t="s">
        <v>42</v>
      </c>
      <c r="C285" s="12" t="s">
        <v>93</v>
      </c>
      <c r="D285" s="7" t="s">
        <v>31</v>
      </c>
      <c r="E285" s="7" t="s">
        <v>32</v>
      </c>
      <c r="F285" s="12" t="n">
        <f aca="false">IF(D285=E285,1,0)</f>
        <v>0</v>
      </c>
      <c r="G285" s="13" t="n">
        <v>-0.130044843049327</v>
      </c>
      <c r="H285" s="14" t="n">
        <v>0.354443989680489</v>
      </c>
      <c r="I285" s="14" t="n">
        <v>0.216226133127368</v>
      </c>
      <c r="J285" s="14" t="n">
        <v>0.429329877192143</v>
      </c>
      <c r="K285" s="12" t="s">
        <v>86</v>
      </c>
      <c r="L285" s="15" t="n">
        <v>1071</v>
      </c>
      <c r="M285" s="15" t="n">
        <v>4</v>
      </c>
    </row>
    <row r="286" customFormat="false" ht="15" hidden="false" customHeight="false" outlineLevel="0" collapsed="false">
      <c r="A286" s="12" t="s">
        <v>43</v>
      </c>
      <c r="B286" s="7" t="s">
        <v>44</v>
      </c>
      <c r="C286" s="12" t="s">
        <v>93</v>
      </c>
      <c r="D286" s="7" t="s">
        <v>31</v>
      </c>
      <c r="E286" s="7" t="s">
        <v>31</v>
      </c>
      <c r="F286" s="12" t="n">
        <f aca="false">IF(D286=E286,1,0)</f>
        <v>1</v>
      </c>
      <c r="G286" s="13" t="n">
        <v>0.136136136136136</v>
      </c>
      <c r="H286" s="14" t="n">
        <v>0.319106156853761</v>
      </c>
      <c r="I286" s="14" t="n">
        <v>0.22881534423184</v>
      </c>
      <c r="J286" s="14" t="n">
        <v>0.452078498914399</v>
      </c>
      <c r="K286" s="12" t="s">
        <v>86</v>
      </c>
      <c r="L286" s="15" t="n">
        <v>1071</v>
      </c>
      <c r="M286" s="15" t="n">
        <v>4</v>
      </c>
    </row>
    <row r="287" customFormat="false" ht="15" hidden="false" customHeight="false" outlineLevel="0" collapsed="false">
      <c r="A287" s="12" t="s">
        <v>28</v>
      </c>
      <c r="B287" s="7" t="s">
        <v>29</v>
      </c>
      <c r="C287" s="12" t="s">
        <v>94</v>
      </c>
      <c r="D287" s="7" t="s">
        <v>31</v>
      </c>
      <c r="E287" s="7" t="s">
        <v>40</v>
      </c>
      <c r="F287" s="12" t="n">
        <f aca="false">IF(D287=E287,1,0)</f>
        <v>0</v>
      </c>
      <c r="G287" s="13" t="n">
        <v>-0.0046296296296296</v>
      </c>
      <c r="H287" s="14" t="n">
        <v>0.307760271959163</v>
      </c>
      <c r="I287" s="14" t="n">
        <v>0.222772595271687</v>
      </c>
      <c r="J287" s="14" t="n">
        <v>0.469467132769151</v>
      </c>
      <c r="K287" s="12" t="s">
        <v>86</v>
      </c>
      <c r="L287" s="15" t="n">
        <v>1071</v>
      </c>
      <c r="M287" s="15" t="n">
        <v>4</v>
      </c>
    </row>
    <row r="288" customFormat="false" ht="15" hidden="false" customHeight="false" outlineLevel="0" collapsed="false">
      <c r="A288" s="12" t="s">
        <v>34</v>
      </c>
      <c r="B288" s="7" t="s">
        <v>35</v>
      </c>
      <c r="C288" s="12" t="s">
        <v>94</v>
      </c>
      <c r="D288" s="7" t="s">
        <v>31</v>
      </c>
      <c r="E288" s="7" t="s">
        <v>31</v>
      </c>
      <c r="F288" s="12" t="n">
        <f aca="false">IF(D288=E288,1,0)</f>
        <v>1</v>
      </c>
      <c r="G288" s="13" t="n">
        <v>0.0386847195357833</v>
      </c>
      <c r="H288" s="14" t="n">
        <v>0.317238341384661</v>
      </c>
      <c r="I288" s="14" t="n">
        <v>0.224381829548035</v>
      </c>
      <c r="J288" s="14" t="n">
        <v>0.458379829067304</v>
      </c>
      <c r="K288" s="12" t="s">
        <v>86</v>
      </c>
      <c r="L288" s="15" t="n">
        <v>1071</v>
      </c>
      <c r="M288" s="15" t="n">
        <v>4</v>
      </c>
    </row>
    <row r="289" customFormat="false" ht="15" hidden="false" customHeight="false" outlineLevel="0" collapsed="false">
      <c r="A289" s="12" t="s">
        <v>36</v>
      </c>
      <c r="B289" s="7" t="s">
        <v>37</v>
      </c>
      <c r="C289" s="12" t="s">
        <v>94</v>
      </c>
      <c r="D289" s="7" t="s">
        <v>31</v>
      </c>
      <c r="E289" s="7" t="s">
        <v>31</v>
      </c>
      <c r="F289" s="12" t="n">
        <f aca="false">IF(D289=E289,1,0)</f>
        <v>1</v>
      </c>
      <c r="G289" s="13" t="n">
        <v>0.0711111111111111</v>
      </c>
      <c r="H289" s="14" t="n">
        <v>0.322139377131734</v>
      </c>
      <c r="I289" s="14" t="n">
        <v>0.263178608328594</v>
      </c>
      <c r="J289" s="14" t="n">
        <v>0.414682014539671</v>
      </c>
      <c r="K289" s="12" t="s">
        <v>86</v>
      </c>
      <c r="L289" s="15" t="n">
        <v>1071</v>
      </c>
      <c r="M289" s="15" t="n">
        <v>4</v>
      </c>
    </row>
    <row r="290" customFormat="false" ht="15" hidden="false" customHeight="false" outlineLevel="0" collapsed="false">
      <c r="A290" s="12" t="s">
        <v>38</v>
      </c>
      <c r="B290" s="7" t="s">
        <v>39</v>
      </c>
      <c r="C290" s="12" t="s">
        <v>94</v>
      </c>
      <c r="D290" s="7" t="s">
        <v>31</v>
      </c>
      <c r="E290" s="7" t="s">
        <v>31</v>
      </c>
      <c r="F290" s="12" t="n">
        <f aca="false">IF(D290=E290,1,0)</f>
        <v>1</v>
      </c>
      <c r="G290" s="13" t="n">
        <v>0.0746634026927783</v>
      </c>
      <c r="H290" s="14" t="n">
        <v>0.308862016256716</v>
      </c>
      <c r="I290" s="14" t="n">
        <v>0.219990215805973</v>
      </c>
      <c r="J290" s="14" t="n">
        <v>0.471147767937311</v>
      </c>
      <c r="K290" s="12" t="s">
        <v>86</v>
      </c>
      <c r="L290" s="15" t="n">
        <v>1071</v>
      </c>
      <c r="M290" s="15" t="n">
        <v>4</v>
      </c>
    </row>
    <row r="291" customFormat="false" ht="15" hidden="false" customHeight="false" outlineLevel="0" collapsed="false">
      <c r="A291" s="12" t="s">
        <v>41</v>
      </c>
      <c r="B291" s="7" t="s">
        <v>42</v>
      </c>
      <c r="C291" s="12" t="s">
        <v>94</v>
      </c>
      <c r="D291" s="7" t="s">
        <v>31</v>
      </c>
      <c r="E291" s="7" t="s">
        <v>32</v>
      </c>
      <c r="F291" s="12" t="n">
        <f aca="false">IF(D291=E291,1,0)</f>
        <v>0</v>
      </c>
      <c r="G291" s="13" t="n">
        <v>-0.146017699115044</v>
      </c>
      <c r="H291" s="14" t="n">
        <v>0.359118324076607</v>
      </c>
      <c r="I291" s="14" t="n">
        <v>0.216531129175821</v>
      </c>
      <c r="J291" s="14" t="n">
        <v>0.424350546747572</v>
      </c>
      <c r="K291" s="12" t="s">
        <v>86</v>
      </c>
      <c r="L291" s="15" t="n">
        <v>1071</v>
      </c>
      <c r="M291" s="15" t="n">
        <v>4</v>
      </c>
    </row>
    <row r="292" customFormat="false" ht="15" hidden="false" customHeight="false" outlineLevel="0" collapsed="false">
      <c r="A292" s="12" t="s">
        <v>43</v>
      </c>
      <c r="B292" s="7" t="s">
        <v>44</v>
      </c>
      <c r="C292" s="12" t="s">
        <v>94</v>
      </c>
      <c r="D292" s="7" t="s">
        <v>31</v>
      </c>
      <c r="E292" s="7" t="s">
        <v>31</v>
      </c>
      <c r="F292" s="12" t="n">
        <f aca="false">IF(D292=E292,1,0)</f>
        <v>1</v>
      </c>
      <c r="G292" s="13" t="n">
        <v>0.149253731343284</v>
      </c>
      <c r="H292" s="14" t="n">
        <v>0.306334433871698</v>
      </c>
      <c r="I292" s="14" t="n">
        <v>0.235336216218809</v>
      </c>
      <c r="J292" s="14" t="n">
        <v>0.458329349909493</v>
      </c>
      <c r="K292" s="12" t="s">
        <v>86</v>
      </c>
      <c r="L292" s="15" t="n">
        <v>1071</v>
      </c>
      <c r="M292" s="15" t="n">
        <v>4</v>
      </c>
    </row>
    <row r="293" customFormat="false" ht="15" hidden="false" customHeight="false" outlineLevel="0" collapsed="false">
      <c r="A293" s="12" t="s">
        <v>28</v>
      </c>
      <c r="B293" s="7" t="s">
        <v>29</v>
      </c>
      <c r="C293" s="12" t="s">
        <v>95</v>
      </c>
      <c r="D293" s="7" t="s">
        <v>31</v>
      </c>
      <c r="E293" s="7" t="s">
        <v>32</v>
      </c>
      <c r="F293" s="12" t="n">
        <f aca="false">IF(D293=E293,1,0)</f>
        <v>0</v>
      </c>
      <c r="G293" s="13" t="n">
        <v>-0.0293453724604966</v>
      </c>
      <c r="H293" s="14" t="n">
        <v>0.296345986646784</v>
      </c>
      <c r="I293" s="14" t="n">
        <v>0.224355943642784</v>
      </c>
      <c r="J293" s="14" t="n">
        <v>0.479298069710432</v>
      </c>
      <c r="K293" s="12" t="s">
        <v>86</v>
      </c>
      <c r="L293" s="15" t="n">
        <v>1071</v>
      </c>
      <c r="M293" s="15" t="n">
        <v>4</v>
      </c>
    </row>
    <row r="294" customFormat="false" ht="15" hidden="false" customHeight="false" outlineLevel="0" collapsed="false">
      <c r="A294" s="12" t="s">
        <v>34</v>
      </c>
      <c r="B294" s="7" t="s">
        <v>35</v>
      </c>
      <c r="C294" s="12" t="s">
        <v>95</v>
      </c>
      <c r="D294" s="7" t="s">
        <v>31</v>
      </c>
      <c r="E294" s="7" t="s">
        <v>31</v>
      </c>
      <c r="F294" s="12" t="n">
        <f aca="false">IF(D294=E294,1,0)</f>
        <v>1</v>
      </c>
      <c r="G294" s="13" t="n">
        <v>0.0307101727447216</v>
      </c>
      <c r="H294" s="14" t="n">
        <v>0.302434909828769</v>
      </c>
      <c r="I294" s="14" t="n">
        <v>0.231297679976543</v>
      </c>
      <c r="J294" s="14" t="n">
        <v>0.466267410194688</v>
      </c>
      <c r="K294" s="12" t="s">
        <v>86</v>
      </c>
      <c r="L294" s="15" t="n">
        <v>1071</v>
      </c>
      <c r="M294" s="15" t="n">
        <v>4</v>
      </c>
    </row>
    <row r="295" customFormat="false" ht="15" hidden="false" customHeight="false" outlineLevel="0" collapsed="false">
      <c r="A295" s="12" t="s">
        <v>36</v>
      </c>
      <c r="B295" s="7" t="s">
        <v>37</v>
      </c>
      <c r="C295" s="12" t="s">
        <v>95</v>
      </c>
      <c r="D295" s="7" t="s">
        <v>31</v>
      </c>
      <c r="E295" s="7" t="s">
        <v>31</v>
      </c>
      <c r="F295" s="12" t="n">
        <f aca="false">IF(D295=E295,1,0)</f>
        <v>1</v>
      </c>
      <c r="G295" s="13" t="n">
        <v>0.0865800865800865</v>
      </c>
      <c r="H295" s="14" t="n">
        <v>0.322251433693568</v>
      </c>
      <c r="I295" s="14" t="n">
        <v>0.254336318028302</v>
      </c>
      <c r="J295" s="14" t="n">
        <v>0.423412248278129</v>
      </c>
      <c r="K295" s="12" t="s">
        <v>86</v>
      </c>
      <c r="L295" s="15" t="n">
        <v>1071</v>
      </c>
      <c r="M295" s="15" t="n">
        <v>4</v>
      </c>
    </row>
    <row r="296" customFormat="false" ht="15" hidden="false" customHeight="false" outlineLevel="0" collapsed="false">
      <c r="A296" s="12" t="s">
        <v>38</v>
      </c>
      <c r="B296" s="7" t="s">
        <v>39</v>
      </c>
      <c r="C296" s="12" t="s">
        <v>95</v>
      </c>
      <c r="D296" s="7" t="s">
        <v>31</v>
      </c>
      <c r="E296" s="7" t="s">
        <v>31</v>
      </c>
      <c r="F296" s="12" t="n">
        <f aca="false">IF(D296=E296,1,0)</f>
        <v>1</v>
      </c>
      <c r="G296" s="13" t="n">
        <v>0.0681818181818181</v>
      </c>
      <c r="H296" s="14" t="n">
        <v>0.300782201303798</v>
      </c>
      <c r="I296" s="14" t="n">
        <v>0.212744773974612</v>
      </c>
      <c r="J296" s="14" t="n">
        <v>0.48647302472159</v>
      </c>
      <c r="K296" s="12" t="s">
        <v>86</v>
      </c>
      <c r="L296" s="15" t="n">
        <v>1071</v>
      </c>
      <c r="M296" s="15" t="n">
        <v>4</v>
      </c>
    </row>
    <row r="297" customFormat="false" ht="15" hidden="false" customHeight="false" outlineLevel="0" collapsed="false">
      <c r="A297" s="12" t="s">
        <v>41</v>
      </c>
      <c r="B297" s="7" t="s">
        <v>42</v>
      </c>
      <c r="C297" s="12" t="s">
        <v>95</v>
      </c>
      <c r="D297" s="7" t="s">
        <v>31</v>
      </c>
      <c r="E297" s="7" t="s">
        <v>32</v>
      </c>
      <c r="F297" s="12" t="n">
        <f aca="false">IF(D297=E297,1,0)</f>
        <v>0</v>
      </c>
      <c r="G297" s="13" t="n">
        <v>-0.153508771929825</v>
      </c>
      <c r="H297" s="14" t="n">
        <v>0.338816886252645</v>
      </c>
      <c r="I297" s="14" t="n">
        <v>0.221460362368781</v>
      </c>
      <c r="J297" s="14" t="n">
        <v>0.439722751378574</v>
      </c>
      <c r="K297" s="12" t="s">
        <v>86</v>
      </c>
      <c r="L297" s="15" t="n">
        <v>1071</v>
      </c>
      <c r="M297" s="15" t="n">
        <v>4</v>
      </c>
    </row>
    <row r="298" customFormat="false" ht="15" hidden="false" customHeight="false" outlineLevel="0" collapsed="false">
      <c r="A298" s="12" t="s">
        <v>43</v>
      </c>
      <c r="B298" s="7" t="s">
        <v>44</v>
      </c>
      <c r="C298" s="12" t="s">
        <v>95</v>
      </c>
      <c r="D298" s="7" t="s">
        <v>31</v>
      </c>
      <c r="E298" s="7" t="s">
        <v>31</v>
      </c>
      <c r="F298" s="12" t="n">
        <f aca="false">IF(D298=E298,1,0)</f>
        <v>1</v>
      </c>
      <c r="G298" s="13" t="n">
        <v>0.124378109452736</v>
      </c>
      <c r="H298" s="14" t="n">
        <v>0.315727381470156</v>
      </c>
      <c r="I298" s="14" t="n">
        <v>0.211724898043152</v>
      </c>
      <c r="J298" s="14" t="n">
        <v>0.472547720486692</v>
      </c>
      <c r="K298" s="12" t="s">
        <v>86</v>
      </c>
      <c r="L298" s="15" t="n">
        <v>1071</v>
      </c>
      <c r="M298" s="15" t="n">
        <v>4</v>
      </c>
    </row>
    <row r="299" customFormat="false" ht="15" hidden="false" customHeight="false" outlineLevel="0" collapsed="false">
      <c r="A299" s="12" t="s">
        <v>28</v>
      </c>
      <c r="B299" s="7" t="s">
        <v>29</v>
      </c>
      <c r="C299" s="12" t="s">
        <v>96</v>
      </c>
      <c r="D299" s="7" t="s">
        <v>31</v>
      </c>
      <c r="E299" s="7" t="s">
        <v>32</v>
      </c>
      <c r="F299" s="12" t="n">
        <f aca="false">IF(D299=E299,1,0)</f>
        <v>0</v>
      </c>
      <c r="G299" s="13" t="n">
        <v>-0.0588235294117647</v>
      </c>
      <c r="H299" s="14" t="n">
        <v>0.301536501301776</v>
      </c>
      <c r="I299" s="14" t="n">
        <v>0.222700978572859</v>
      </c>
      <c r="J299" s="14" t="n">
        <v>0.475762520125366</v>
      </c>
      <c r="K299" s="12" t="s">
        <v>86</v>
      </c>
      <c r="L299" s="15" t="n">
        <v>1071</v>
      </c>
      <c r="M299" s="15" t="n">
        <v>4</v>
      </c>
    </row>
    <row r="300" customFormat="false" ht="15" hidden="false" customHeight="false" outlineLevel="0" collapsed="false">
      <c r="A300" s="12" t="s">
        <v>34</v>
      </c>
      <c r="B300" s="7" t="s">
        <v>35</v>
      </c>
      <c r="C300" s="12" t="s">
        <v>96</v>
      </c>
      <c r="D300" s="7" t="s">
        <v>31</v>
      </c>
      <c r="E300" s="7" t="s">
        <v>32</v>
      </c>
      <c r="F300" s="12" t="n">
        <f aca="false">IF(D300=E300,1,0)</f>
        <v>0</v>
      </c>
      <c r="G300" s="13" t="n">
        <v>-0.0299065420560747</v>
      </c>
      <c r="H300" s="14" t="n">
        <v>0.310308046338253</v>
      </c>
      <c r="I300" s="14" t="n">
        <v>0.211286437543821</v>
      </c>
      <c r="J300" s="14" t="n">
        <v>0.478405516117926</v>
      </c>
      <c r="K300" s="12" t="s">
        <v>86</v>
      </c>
      <c r="L300" s="15" t="n">
        <v>1071</v>
      </c>
      <c r="M300" s="15" t="n">
        <v>4</v>
      </c>
    </row>
    <row r="301" customFormat="false" ht="15" hidden="false" customHeight="false" outlineLevel="0" collapsed="false">
      <c r="A301" s="12" t="s">
        <v>36</v>
      </c>
      <c r="B301" s="7" t="s">
        <v>37</v>
      </c>
      <c r="C301" s="12" t="s">
        <v>96</v>
      </c>
      <c r="D301" s="7" t="s">
        <v>31</v>
      </c>
      <c r="E301" s="7" t="s">
        <v>31</v>
      </c>
      <c r="F301" s="12" t="n">
        <f aca="false">IF(D301=E301,1,0)</f>
        <v>1</v>
      </c>
      <c r="G301" s="13" t="n">
        <v>0.0484210526315789</v>
      </c>
      <c r="H301" s="14" t="n">
        <v>0.317362186691872</v>
      </c>
      <c r="I301" s="14" t="n">
        <v>0.224225492359748</v>
      </c>
      <c r="J301" s="14" t="n">
        <v>0.45841232094838</v>
      </c>
      <c r="K301" s="12" t="s">
        <v>86</v>
      </c>
      <c r="L301" s="15" t="n">
        <v>1071</v>
      </c>
      <c r="M301" s="15" t="n">
        <v>4</v>
      </c>
    </row>
    <row r="302" customFormat="false" ht="15" hidden="false" customHeight="false" outlineLevel="0" collapsed="false">
      <c r="A302" s="12" t="s">
        <v>38</v>
      </c>
      <c r="B302" s="7" t="s">
        <v>39</v>
      </c>
      <c r="C302" s="12" t="s">
        <v>96</v>
      </c>
      <c r="D302" s="7" t="s">
        <v>31</v>
      </c>
      <c r="E302" s="7" t="s">
        <v>31</v>
      </c>
      <c r="F302" s="12" t="n">
        <f aca="false">IF(D302=E302,1,0)</f>
        <v>1</v>
      </c>
      <c r="G302" s="13" t="n">
        <v>0.0145413870246084</v>
      </c>
      <c r="H302" s="14" t="n">
        <v>0.305511415177547</v>
      </c>
      <c r="I302" s="14" t="n">
        <v>0.21130585817681</v>
      </c>
      <c r="J302" s="14" t="n">
        <v>0.483182726645643</v>
      </c>
      <c r="K302" s="12" t="s">
        <v>86</v>
      </c>
      <c r="L302" s="15" t="n">
        <v>1071</v>
      </c>
      <c r="M302" s="15" t="n">
        <v>4</v>
      </c>
    </row>
    <row r="303" customFormat="false" ht="15" hidden="false" customHeight="false" outlineLevel="0" collapsed="false">
      <c r="A303" s="12" t="s">
        <v>41</v>
      </c>
      <c r="B303" s="7" t="s">
        <v>42</v>
      </c>
      <c r="C303" s="12" t="s">
        <v>96</v>
      </c>
      <c r="D303" s="7" t="s">
        <v>31</v>
      </c>
      <c r="E303" s="7" t="s">
        <v>32</v>
      </c>
      <c r="F303" s="12" t="n">
        <f aca="false">IF(D303=E303,1,0)</f>
        <v>0</v>
      </c>
      <c r="G303" s="13" t="n">
        <v>-0.158129175946548</v>
      </c>
      <c r="H303" s="14" t="n">
        <v>0.329228820168284</v>
      </c>
      <c r="I303" s="14" t="n">
        <v>0.224671842736789</v>
      </c>
      <c r="J303" s="14" t="n">
        <v>0.446099337094926</v>
      </c>
      <c r="K303" s="12" t="s">
        <v>86</v>
      </c>
      <c r="L303" s="15" t="n">
        <v>1071</v>
      </c>
      <c r="M303" s="15" t="n">
        <v>4</v>
      </c>
    </row>
    <row r="304" customFormat="false" ht="15" hidden="false" customHeight="false" outlineLevel="0" collapsed="false">
      <c r="A304" s="12" t="s">
        <v>43</v>
      </c>
      <c r="B304" s="7" t="s">
        <v>44</v>
      </c>
      <c r="C304" s="12" t="s">
        <v>96</v>
      </c>
      <c r="D304" s="7" t="s">
        <v>31</v>
      </c>
      <c r="E304" s="7" t="s">
        <v>31</v>
      </c>
      <c r="F304" s="12" t="n">
        <f aca="false">IF(D304=E304,1,0)</f>
        <v>1</v>
      </c>
      <c r="G304" s="13" t="n">
        <v>0.0913461538461537</v>
      </c>
      <c r="H304" s="14" t="n">
        <v>0.320951432523408</v>
      </c>
      <c r="I304" s="14" t="n">
        <v>0.215228115507129</v>
      </c>
      <c r="J304" s="14" t="n">
        <v>0.463820451969463</v>
      </c>
      <c r="K304" s="12" t="s">
        <v>86</v>
      </c>
      <c r="L304" s="15" t="n">
        <v>1071</v>
      </c>
      <c r="M304" s="15" t="n">
        <v>4</v>
      </c>
    </row>
    <row r="305" customFormat="false" ht="15" hidden="false" customHeight="false" outlineLevel="0" collapsed="false">
      <c r="A305" s="12" t="s">
        <v>28</v>
      </c>
      <c r="B305" s="7" t="s">
        <v>29</v>
      </c>
      <c r="C305" s="12" t="s">
        <v>97</v>
      </c>
      <c r="D305" s="7" t="s">
        <v>31</v>
      </c>
      <c r="E305" s="7" t="s">
        <v>32</v>
      </c>
      <c r="F305" s="12" t="n">
        <f aca="false">IF(D305=E305,1,0)</f>
        <v>0</v>
      </c>
      <c r="G305" s="13" t="n">
        <v>-0.103139013452915</v>
      </c>
      <c r="H305" s="14" t="n">
        <v>0.294582006884496</v>
      </c>
      <c r="I305" s="14" t="n">
        <v>0.228972913265469</v>
      </c>
      <c r="J305" s="14" t="n">
        <v>0.476445079850035</v>
      </c>
      <c r="K305" s="12" t="s">
        <v>86</v>
      </c>
      <c r="L305" s="15" t="n">
        <v>1071</v>
      </c>
      <c r="M305" s="15" t="n">
        <v>4</v>
      </c>
    </row>
    <row r="306" customFormat="false" ht="15" hidden="false" customHeight="false" outlineLevel="0" collapsed="false">
      <c r="A306" s="12" t="s">
        <v>34</v>
      </c>
      <c r="B306" s="7" t="s">
        <v>35</v>
      </c>
      <c r="C306" s="12" t="s">
        <v>97</v>
      </c>
      <c r="D306" s="7" t="s">
        <v>31</v>
      </c>
      <c r="E306" s="7" t="s">
        <v>32</v>
      </c>
      <c r="F306" s="12" t="n">
        <f aca="false">IF(D306=E306,1,0)</f>
        <v>0</v>
      </c>
      <c r="G306" s="13" t="n">
        <v>-0.0483271375464684</v>
      </c>
      <c r="H306" s="14" t="n">
        <v>0.32855154654444</v>
      </c>
      <c r="I306" s="14" t="n">
        <v>0.207979357951659</v>
      </c>
      <c r="J306" s="14" t="n">
        <v>0.4634690955039</v>
      </c>
      <c r="K306" s="12" t="s">
        <v>86</v>
      </c>
      <c r="L306" s="15" t="n">
        <v>1071</v>
      </c>
      <c r="M306" s="15" t="n">
        <v>4</v>
      </c>
    </row>
    <row r="307" customFormat="false" ht="15" hidden="false" customHeight="false" outlineLevel="0" collapsed="false">
      <c r="A307" s="12" t="s">
        <v>36</v>
      </c>
      <c r="B307" s="7" t="s">
        <v>37</v>
      </c>
      <c r="C307" s="12" t="s">
        <v>97</v>
      </c>
      <c r="D307" s="7" t="s">
        <v>31</v>
      </c>
      <c r="E307" s="7" t="s">
        <v>40</v>
      </c>
      <c r="F307" s="12" t="n">
        <f aca="false">IF(D307=E307,1,0)</f>
        <v>0</v>
      </c>
      <c r="G307" s="13" t="n">
        <v>-0.0041666666666666</v>
      </c>
      <c r="H307" s="14" t="n">
        <v>0.321411941457369</v>
      </c>
      <c r="I307" s="14" t="n">
        <v>0.248254901438735</v>
      </c>
      <c r="J307" s="14" t="n">
        <v>0.430333157103896</v>
      </c>
      <c r="K307" s="12" t="s">
        <v>86</v>
      </c>
      <c r="L307" s="15" t="n">
        <v>1071</v>
      </c>
      <c r="M307" s="15" t="n">
        <v>4</v>
      </c>
    </row>
    <row r="308" customFormat="false" ht="15" hidden="false" customHeight="false" outlineLevel="0" collapsed="false">
      <c r="A308" s="12" t="s">
        <v>38</v>
      </c>
      <c r="B308" s="7" t="s">
        <v>39</v>
      </c>
      <c r="C308" s="12" t="s">
        <v>97</v>
      </c>
      <c r="D308" s="7" t="s">
        <v>31</v>
      </c>
      <c r="E308" s="7" t="s">
        <v>32</v>
      </c>
      <c r="F308" s="12" t="n">
        <f aca="false">IF(D308=E308,1,0)</f>
        <v>0</v>
      </c>
      <c r="G308" s="13" t="n">
        <v>-0.0603070175438597</v>
      </c>
      <c r="H308" s="14" t="n">
        <v>0.316015050819642</v>
      </c>
      <c r="I308" s="14" t="n">
        <v>0.220233581236897</v>
      </c>
      <c r="J308" s="14" t="n">
        <v>0.463751367943462</v>
      </c>
      <c r="K308" s="12" t="s">
        <v>86</v>
      </c>
      <c r="L308" s="15" t="n">
        <v>1071</v>
      </c>
      <c r="M308" s="15" t="n">
        <v>4</v>
      </c>
    </row>
    <row r="309" customFormat="false" ht="15" hidden="false" customHeight="false" outlineLevel="0" collapsed="false">
      <c r="A309" s="12" t="s">
        <v>41</v>
      </c>
      <c r="B309" s="7" t="s">
        <v>42</v>
      </c>
      <c r="C309" s="12" t="s">
        <v>97</v>
      </c>
      <c r="D309" s="7" t="s">
        <v>31</v>
      </c>
      <c r="E309" s="7" t="s">
        <v>32</v>
      </c>
      <c r="F309" s="12" t="n">
        <f aca="false">IF(D309=E309,1,0)</f>
        <v>0</v>
      </c>
      <c r="G309" s="13" t="n">
        <v>-0.154195011337869</v>
      </c>
      <c r="H309" s="14" t="n">
        <v>0.338816886252645</v>
      </c>
      <c r="I309" s="14" t="n">
        <v>0.221460362368781</v>
      </c>
      <c r="J309" s="14" t="n">
        <v>0.439722751378574</v>
      </c>
      <c r="K309" s="12" t="s">
        <v>86</v>
      </c>
      <c r="L309" s="15" t="n">
        <v>1071</v>
      </c>
      <c r="M309" s="15" t="n">
        <v>4</v>
      </c>
    </row>
    <row r="310" customFormat="false" ht="15" hidden="false" customHeight="false" outlineLevel="0" collapsed="false">
      <c r="A310" s="12" t="s">
        <v>43</v>
      </c>
      <c r="B310" s="7" t="s">
        <v>44</v>
      </c>
      <c r="C310" s="12" t="s">
        <v>97</v>
      </c>
      <c r="D310" s="7" t="s">
        <v>31</v>
      </c>
      <c r="E310" s="7" t="s">
        <v>40</v>
      </c>
      <c r="F310" s="12" t="n">
        <f aca="false">IF(D310=E310,1,0)</f>
        <v>0</v>
      </c>
      <c r="G310" s="13" t="n">
        <v>0.004566210045662</v>
      </c>
      <c r="H310" s="14" t="n">
        <v>0.3095264190679</v>
      </c>
      <c r="I310" s="14" t="n">
        <v>0.223665895770293</v>
      </c>
      <c r="J310" s="14" t="n">
        <v>0.466807685161807</v>
      </c>
      <c r="K310" s="12" t="s">
        <v>86</v>
      </c>
      <c r="L310" s="15" t="n">
        <v>1071</v>
      </c>
      <c r="M310" s="15" t="n">
        <v>4</v>
      </c>
    </row>
    <row r="311" customFormat="false" ht="15" hidden="false" customHeight="false" outlineLevel="0" collapsed="false">
      <c r="A311" s="12" t="s">
        <v>28</v>
      </c>
      <c r="B311" s="7" t="s">
        <v>29</v>
      </c>
      <c r="C311" s="12" t="s">
        <v>98</v>
      </c>
      <c r="D311" s="7" t="s">
        <v>31</v>
      </c>
      <c r="E311" s="7" t="s">
        <v>32</v>
      </c>
      <c r="F311" s="12" t="n">
        <f aca="false">IF(D311=E311,1,0)</f>
        <v>0</v>
      </c>
      <c r="G311" s="13" t="n">
        <v>-0.0812064965197215</v>
      </c>
      <c r="H311" s="14" t="n">
        <v>0.329090689642309</v>
      </c>
      <c r="I311" s="14" t="n">
        <v>0.214946614871855</v>
      </c>
      <c r="J311" s="14" t="n">
        <v>0.455962695485836</v>
      </c>
      <c r="K311" s="12" t="s">
        <v>86</v>
      </c>
      <c r="L311" s="15" t="n">
        <v>1071</v>
      </c>
      <c r="M311" s="15" t="n">
        <v>4</v>
      </c>
    </row>
    <row r="312" customFormat="false" ht="15" hidden="false" customHeight="false" outlineLevel="0" collapsed="false">
      <c r="A312" s="12" t="s">
        <v>34</v>
      </c>
      <c r="B312" s="7" t="s">
        <v>35</v>
      </c>
      <c r="C312" s="12" t="s">
        <v>98</v>
      </c>
      <c r="D312" s="7" t="s">
        <v>31</v>
      </c>
      <c r="E312" s="7" t="s">
        <v>32</v>
      </c>
      <c r="F312" s="12" t="n">
        <f aca="false">IF(D312=E312,1,0)</f>
        <v>0</v>
      </c>
      <c r="G312" s="13" t="n">
        <v>-0.0533088235294118</v>
      </c>
      <c r="H312" s="14" t="n">
        <v>0.332147445206098</v>
      </c>
      <c r="I312" s="14" t="n">
        <v>0.217314117647122</v>
      </c>
      <c r="J312" s="14" t="n">
        <v>0.45053843714678</v>
      </c>
      <c r="K312" s="12" t="s">
        <v>86</v>
      </c>
      <c r="L312" s="15" t="n">
        <v>1071</v>
      </c>
      <c r="M312" s="15" t="n">
        <v>4</v>
      </c>
    </row>
    <row r="313" customFormat="false" ht="15" hidden="false" customHeight="false" outlineLevel="0" collapsed="false">
      <c r="A313" s="12" t="s">
        <v>36</v>
      </c>
      <c r="B313" s="7" t="s">
        <v>37</v>
      </c>
      <c r="C313" s="12" t="s">
        <v>98</v>
      </c>
      <c r="D313" s="7" t="s">
        <v>31</v>
      </c>
      <c r="E313" s="7" t="s">
        <v>40</v>
      </c>
      <c r="F313" s="12" t="n">
        <f aca="false">IF(D313=E313,1,0)</f>
        <v>0</v>
      </c>
      <c r="G313" s="13" t="n">
        <v>0.0020964360587001</v>
      </c>
      <c r="H313" s="14" t="n">
        <v>0.314793875751978</v>
      </c>
      <c r="I313" s="14" t="n">
        <v>0.243143183305435</v>
      </c>
      <c r="J313" s="14" t="n">
        <v>0.442062940942588</v>
      </c>
      <c r="K313" s="12" t="s">
        <v>86</v>
      </c>
      <c r="L313" s="15" t="n">
        <v>1071</v>
      </c>
      <c r="M313" s="15" t="n">
        <v>4</v>
      </c>
    </row>
    <row r="314" customFormat="false" ht="15" hidden="false" customHeight="false" outlineLevel="0" collapsed="false">
      <c r="A314" s="12" t="s">
        <v>38</v>
      </c>
      <c r="B314" s="7" t="s">
        <v>39</v>
      </c>
      <c r="C314" s="12" t="s">
        <v>98</v>
      </c>
      <c r="D314" s="7" t="s">
        <v>31</v>
      </c>
      <c r="E314" s="7" t="s">
        <v>32</v>
      </c>
      <c r="F314" s="12" t="n">
        <f aca="false">IF(D314=E314,1,0)</f>
        <v>0</v>
      </c>
      <c r="G314" s="13" t="n">
        <v>-0.0336322869955156</v>
      </c>
      <c r="H314" s="14" t="n">
        <v>0.319123595280144</v>
      </c>
      <c r="I314" s="14" t="n">
        <v>0.21101152282007</v>
      </c>
      <c r="J314" s="14" t="n">
        <v>0.469864881899786</v>
      </c>
      <c r="K314" s="12" t="s">
        <v>86</v>
      </c>
      <c r="L314" s="15" t="n">
        <v>1071</v>
      </c>
      <c r="M314" s="15" t="n">
        <v>4</v>
      </c>
    </row>
    <row r="315" customFormat="false" ht="15" hidden="false" customHeight="false" outlineLevel="0" collapsed="false">
      <c r="A315" s="12" t="s">
        <v>41</v>
      </c>
      <c r="B315" s="7" t="s">
        <v>42</v>
      </c>
      <c r="C315" s="12" t="s">
        <v>98</v>
      </c>
      <c r="D315" s="7" t="s">
        <v>31</v>
      </c>
      <c r="E315" s="7" t="s">
        <v>32</v>
      </c>
      <c r="F315" s="12" t="n">
        <f aca="false">IF(D315=E315,1,0)</f>
        <v>0</v>
      </c>
      <c r="G315" s="13" t="n">
        <v>-0.0463917525773195</v>
      </c>
      <c r="H315" s="14" t="n">
        <v>0.298113464871028</v>
      </c>
      <c r="I315" s="14" t="n">
        <v>0.228003520664716</v>
      </c>
      <c r="J315" s="14" t="n">
        <v>0.473883014464255</v>
      </c>
      <c r="K315" s="12" t="s">
        <v>86</v>
      </c>
      <c r="L315" s="15" t="n">
        <v>1071</v>
      </c>
      <c r="M315" s="15" t="n">
        <v>4</v>
      </c>
    </row>
    <row r="316" customFormat="false" ht="15" hidden="false" customHeight="false" outlineLevel="0" collapsed="false">
      <c r="A316" s="12" t="s">
        <v>43</v>
      </c>
      <c r="B316" s="7" t="s">
        <v>44</v>
      </c>
      <c r="C316" s="12" t="s">
        <v>98</v>
      </c>
      <c r="D316" s="7" t="s">
        <v>31</v>
      </c>
      <c r="E316" s="7" t="s">
        <v>32</v>
      </c>
      <c r="F316" s="12" t="n">
        <f aca="false">IF(D316=E316,1,0)</f>
        <v>0</v>
      </c>
      <c r="G316" s="13" t="n">
        <v>-0.0176211453744493</v>
      </c>
      <c r="H316" s="14" t="n">
        <v>0.333947926802164</v>
      </c>
      <c r="I316" s="14" t="n">
        <v>0.223918432011798</v>
      </c>
      <c r="J316" s="14" t="n">
        <v>0.442133641186038</v>
      </c>
      <c r="K316" s="12" t="s">
        <v>86</v>
      </c>
      <c r="L316" s="15" t="n">
        <v>1071</v>
      </c>
      <c r="M316" s="15" t="n">
        <v>4</v>
      </c>
    </row>
    <row r="317" customFormat="false" ht="15" hidden="false" customHeight="false" outlineLevel="0" collapsed="false">
      <c r="A317" s="12" t="s">
        <v>28</v>
      </c>
      <c r="B317" s="7" t="s">
        <v>29</v>
      </c>
      <c r="C317" s="12" t="s">
        <v>99</v>
      </c>
      <c r="D317" s="7" t="s">
        <v>31</v>
      </c>
      <c r="E317" s="7" t="s">
        <v>32</v>
      </c>
      <c r="F317" s="12" t="n">
        <f aca="false">IF(D317=E317,1,0)</f>
        <v>0</v>
      </c>
      <c r="G317" s="13" t="n">
        <v>-0.158139534883721</v>
      </c>
      <c r="H317" s="14" t="n">
        <v>0.329880423104998</v>
      </c>
      <c r="I317" s="14" t="n">
        <v>0.213062687590573</v>
      </c>
      <c r="J317" s="14" t="n">
        <v>0.457056889304429</v>
      </c>
      <c r="K317" s="12" t="s">
        <v>86</v>
      </c>
      <c r="L317" s="15" t="n">
        <v>1071</v>
      </c>
      <c r="M317" s="15" t="n">
        <v>4</v>
      </c>
    </row>
    <row r="318" customFormat="false" ht="15" hidden="false" customHeight="false" outlineLevel="0" collapsed="false">
      <c r="A318" s="12" t="s">
        <v>34</v>
      </c>
      <c r="B318" s="7" t="s">
        <v>35</v>
      </c>
      <c r="C318" s="12" t="s">
        <v>99</v>
      </c>
      <c r="D318" s="7" t="s">
        <v>31</v>
      </c>
      <c r="E318" s="7" t="s">
        <v>32</v>
      </c>
      <c r="F318" s="12" t="n">
        <f aca="false">IF(D318=E318,1,0)</f>
        <v>0</v>
      </c>
      <c r="G318" s="13" t="n">
        <v>-0.074487895716946</v>
      </c>
      <c r="H318" s="14" t="n">
        <v>0.341624786821634</v>
      </c>
      <c r="I318" s="14" t="n">
        <v>0.232392255041802</v>
      </c>
      <c r="J318" s="14" t="n">
        <v>0.425982958136564</v>
      </c>
      <c r="K318" s="12" t="s">
        <v>86</v>
      </c>
      <c r="L318" s="15" t="n">
        <v>1071</v>
      </c>
      <c r="M318" s="15" t="n">
        <v>4</v>
      </c>
    </row>
    <row r="319" customFormat="false" ht="15" hidden="false" customHeight="false" outlineLevel="0" collapsed="false">
      <c r="A319" s="12" t="s">
        <v>36</v>
      </c>
      <c r="B319" s="7" t="s">
        <v>37</v>
      </c>
      <c r="C319" s="12" t="s">
        <v>99</v>
      </c>
      <c r="D319" s="7" t="s">
        <v>31</v>
      </c>
      <c r="E319" s="7" t="s">
        <v>32</v>
      </c>
      <c r="F319" s="12" t="n">
        <f aca="false">IF(D319=E319,1,0)</f>
        <v>0</v>
      </c>
      <c r="G319" s="13" t="n">
        <v>-0.0290456431535269</v>
      </c>
      <c r="H319" s="14" t="n">
        <v>0.31249932538601</v>
      </c>
      <c r="I319" s="14" t="n">
        <v>0.220789741295798</v>
      </c>
      <c r="J319" s="14" t="n">
        <v>0.466710933318192</v>
      </c>
      <c r="K319" s="12" t="s">
        <v>86</v>
      </c>
      <c r="L319" s="15" t="n">
        <v>1071</v>
      </c>
      <c r="M319" s="15" t="n">
        <v>4</v>
      </c>
    </row>
    <row r="320" customFormat="false" ht="15" hidden="false" customHeight="false" outlineLevel="0" collapsed="false">
      <c r="A320" s="12" t="s">
        <v>38</v>
      </c>
      <c r="B320" s="7" t="s">
        <v>39</v>
      </c>
      <c r="C320" s="12" t="s">
        <v>99</v>
      </c>
      <c r="D320" s="7" t="s">
        <v>31</v>
      </c>
      <c r="E320" s="7" t="s">
        <v>32</v>
      </c>
      <c r="F320" s="12" t="n">
        <f aca="false">IF(D320=E320,1,0)</f>
        <v>0</v>
      </c>
      <c r="G320" s="13" t="n">
        <v>-0.116173120728929</v>
      </c>
      <c r="H320" s="14" t="n">
        <v>0.312367077699713</v>
      </c>
      <c r="I320" s="14" t="n">
        <v>0.20605297363765</v>
      </c>
      <c r="J320" s="14" t="n">
        <v>0.481579948662638</v>
      </c>
      <c r="K320" s="12" t="s">
        <v>86</v>
      </c>
      <c r="L320" s="15" t="n">
        <v>1071</v>
      </c>
      <c r="M320" s="15" t="n">
        <v>4</v>
      </c>
    </row>
    <row r="321" customFormat="false" ht="15" hidden="false" customHeight="false" outlineLevel="0" collapsed="false">
      <c r="A321" s="12" t="s">
        <v>41</v>
      </c>
      <c r="B321" s="7" t="s">
        <v>42</v>
      </c>
      <c r="C321" s="12" t="s">
        <v>99</v>
      </c>
      <c r="D321" s="7" t="s">
        <v>31</v>
      </c>
      <c r="E321" s="7" t="s">
        <v>32</v>
      </c>
      <c r="F321" s="12" t="n">
        <f aca="false">IF(D321=E321,1,0)</f>
        <v>0</v>
      </c>
      <c r="G321" s="13" t="n">
        <v>-0.0621761658031088</v>
      </c>
      <c r="H321" s="14" t="n">
        <v>0.308692896398086</v>
      </c>
      <c r="I321" s="14" t="n">
        <v>0.235781877752237</v>
      </c>
      <c r="J321" s="14" t="n">
        <v>0.455525225849678</v>
      </c>
      <c r="K321" s="12" t="s">
        <v>86</v>
      </c>
      <c r="L321" s="15" t="n">
        <v>1071</v>
      </c>
      <c r="M321" s="15" t="n">
        <v>4</v>
      </c>
    </row>
    <row r="322" customFormat="false" ht="15" hidden="false" customHeight="false" outlineLevel="0" collapsed="false">
      <c r="A322" s="12" t="s">
        <v>43</v>
      </c>
      <c r="B322" s="7" t="s">
        <v>44</v>
      </c>
      <c r="C322" s="12" t="s">
        <v>99</v>
      </c>
      <c r="D322" s="7" t="s">
        <v>31</v>
      </c>
      <c r="E322" s="7" t="s">
        <v>32</v>
      </c>
      <c r="F322" s="12" t="n">
        <f aca="false">IF(D322=E322,1,0)</f>
        <v>0</v>
      </c>
      <c r="G322" s="13" t="n">
        <v>-0.0822510822510822</v>
      </c>
      <c r="H322" s="14" t="n">
        <v>0.339112323019622</v>
      </c>
      <c r="I322" s="14" t="n">
        <v>0.227381257831304</v>
      </c>
      <c r="J322" s="14" t="n">
        <v>0.433506419149074</v>
      </c>
      <c r="K322" s="12" t="s">
        <v>86</v>
      </c>
      <c r="L322" s="15" t="n">
        <v>1071</v>
      </c>
      <c r="M322" s="15" t="n">
        <v>4</v>
      </c>
    </row>
    <row r="323" customFormat="false" ht="15" hidden="false" customHeight="false" outlineLevel="0" collapsed="false">
      <c r="A323" s="12" t="s">
        <v>28</v>
      </c>
      <c r="B323" s="7" t="s">
        <v>29</v>
      </c>
      <c r="C323" s="12" t="s">
        <v>100</v>
      </c>
      <c r="D323" s="7" t="s">
        <v>31</v>
      </c>
      <c r="E323" s="7" t="s">
        <v>32</v>
      </c>
      <c r="F323" s="12" t="n">
        <f aca="false">IF(D323=E323,1,0)</f>
        <v>0</v>
      </c>
      <c r="G323" s="13" t="n">
        <v>-0.113953488372093</v>
      </c>
      <c r="H323" s="14" t="n">
        <v>0.330482490686449</v>
      </c>
      <c r="I323" s="14" t="n">
        <v>0.220384593207927</v>
      </c>
      <c r="J323" s="14" t="n">
        <v>0.449132916105624</v>
      </c>
      <c r="K323" s="12" t="s">
        <v>86</v>
      </c>
      <c r="L323" s="15" t="n">
        <v>1071</v>
      </c>
      <c r="M323" s="15" t="n">
        <v>4</v>
      </c>
    </row>
    <row r="324" customFormat="false" ht="15" hidden="false" customHeight="false" outlineLevel="0" collapsed="false">
      <c r="A324" s="12" t="s">
        <v>34</v>
      </c>
      <c r="B324" s="7" t="s">
        <v>35</v>
      </c>
      <c r="C324" s="12" t="s">
        <v>100</v>
      </c>
      <c r="D324" s="7" t="s">
        <v>31</v>
      </c>
      <c r="E324" s="7" t="s">
        <v>32</v>
      </c>
      <c r="F324" s="12" t="n">
        <f aca="false">IF(D324=E324,1,0)</f>
        <v>0</v>
      </c>
      <c r="G324" s="13" t="n">
        <v>-0.0819366852886406</v>
      </c>
      <c r="H324" s="14" t="n">
        <v>0.348635719453348</v>
      </c>
      <c r="I324" s="14" t="n">
        <v>0.237161482882054</v>
      </c>
      <c r="J324" s="14" t="n">
        <v>0.414202797664597</v>
      </c>
      <c r="K324" s="12" t="s">
        <v>86</v>
      </c>
      <c r="L324" s="15" t="n">
        <v>1071</v>
      </c>
      <c r="M324" s="15" t="n">
        <v>4</v>
      </c>
    </row>
    <row r="325" customFormat="false" ht="15" hidden="false" customHeight="false" outlineLevel="0" collapsed="false">
      <c r="A325" s="12" t="s">
        <v>36</v>
      </c>
      <c r="B325" s="7" t="s">
        <v>37</v>
      </c>
      <c r="C325" s="12" t="s">
        <v>100</v>
      </c>
      <c r="D325" s="7" t="s">
        <v>31</v>
      </c>
      <c r="E325" s="7" t="s">
        <v>32</v>
      </c>
      <c r="F325" s="12" t="n">
        <f aca="false">IF(D325=E325,1,0)</f>
        <v>0</v>
      </c>
      <c r="G325" s="13" t="n">
        <v>-0.0557768924302788</v>
      </c>
      <c r="H325" s="14" t="n">
        <v>0.328490292760707</v>
      </c>
      <c r="I325" s="14" t="n">
        <v>0.25372213889479</v>
      </c>
      <c r="J325" s="14" t="n">
        <v>0.417787568344503</v>
      </c>
      <c r="K325" s="12" t="s">
        <v>86</v>
      </c>
      <c r="L325" s="15" t="n">
        <v>1071</v>
      </c>
      <c r="M325" s="15" t="n">
        <v>4</v>
      </c>
    </row>
    <row r="326" customFormat="false" ht="15" hidden="false" customHeight="false" outlineLevel="0" collapsed="false">
      <c r="A326" s="12" t="s">
        <v>38</v>
      </c>
      <c r="B326" s="7" t="s">
        <v>39</v>
      </c>
      <c r="C326" s="12" t="s">
        <v>100</v>
      </c>
      <c r="D326" s="7" t="s">
        <v>31</v>
      </c>
      <c r="E326" s="7" t="s">
        <v>32</v>
      </c>
      <c r="F326" s="12" t="n">
        <f aca="false">IF(D326=E326,1,0)</f>
        <v>0</v>
      </c>
      <c r="G326" s="13" t="n">
        <v>-0.124300111982083</v>
      </c>
      <c r="H326" s="14" t="n">
        <v>0.311856095228147</v>
      </c>
      <c r="I326" s="14" t="n">
        <v>0.206206092335618</v>
      </c>
      <c r="J326" s="14" t="n">
        <v>0.481937812436235</v>
      </c>
      <c r="K326" s="12" t="s">
        <v>86</v>
      </c>
      <c r="L326" s="15" t="n">
        <v>1071</v>
      </c>
      <c r="M326" s="15" t="n">
        <v>4</v>
      </c>
    </row>
    <row r="327" customFormat="false" ht="15" hidden="false" customHeight="false" outlineLevel="0" collapsed="false">
      <c r="A327" s="12" t="s">
        <v>41</v>
      </c>
      <c r="B327" s="7" t="s">
        <v>42</v>
      </c>
      <c r="C327" s="12" t="s">
        <v>100</v>
      </c>
      <c r="D327" s="7" t="s">
        <v>31</v>
      </c>
      <c r="E327" s="7" t="s">
        <v>32</v>
      </c>
      <c r="F327" s="12" t="n">
        <f aca="false">IF(D327=E327,1,0)</f>
        <v>0</v>
      </c>
      <c r="G327" s="13" t="n">
        <v>-0.0466321243523316</v>
      </c>
      <c r="H327" s="14" t="n">
        <v>0.299120307191878</v>
      </c>
      <c r="I327" s="14" t="n">
        <v>0.240977651195571</v>
      </c>
      <c r="J327" s="14" t="n">
        <v>0.45990204161255</v>
      </c>
      <c r="K327" s="12" t="s">
        <v>86</v>
      </c>
      <c r="L327" s="15" t="n">
        <v>1071</v>
      </c>
      <c r="M327" s="15" t="n">
        <v>4</v>
      </c>
    </row>
    <row r="328" customFormat="false" ht="15" hidden="false" customHeight="false" outlineLevel="0" collapsed="false">
      <c r="A328" s="12" t="s">
        <v>43</v>
      </c>
      <c r="B328" s="7" t="s">
        <v>44</v>
      </c>
      <c r="C328" s="12" t="s">
        <v>100</v>
      </c>
      <c r="D328" s="7" t="s">
        <v>31</v>
      </c>
      <c r="E328" s="7" t="s">
        <v>32</v>
      </c>
      <c r="F328" s="12" t="n">
        <f aca="false">IF(D328=E328,1,0)</f>
        <v>0</v>
      </c>
      <c r="G328" s="13" t="n">
        <v>-0.101769911504425</v>
      </c>
      <c r="H328" s="14" t="n">
        <v>0.346004142103323</v>
      </c>
      <c r="I328" s="14" t="n">
        <v>0.235609761051251</v>
      </c>
      <c r="J328" s="14" t="n">
        <v>0.418386096845426</v>
      </c>
      <c r="K328" s="12" t="s">
        <v>86</v>
      </c>
      <c r="L328" s="15" t="n">
        <v>1071</v>
      </c>
      <c r="M328" s="15" t="n">
        <v>4</v>
      </c>
    </row>
    <row r="329" customFormat="false" ht="15" hidden="false" customHeight="false" outlineLevel="0" collapsed="false">
      <c r="A329" s="12" t="s">
        <v>28</v>
      </c>
      <c r="B329" s="7" t="s">
        <v>29</v>
      </c>
      <c r="C329" s="12" t="s">
        <v>101</v>
      </c>
      <c r="D329" s="7" t="s">
        <v>31</v>
      </c>
      <c r="E329" s="7" t="s">
        <v>32</v>
      </c>
      <c r="F329" s="12" t="n">
        <f aca="false">IF(D329=E329,1,0)</f>
        <v>0</v>
      </c>
      <c r="G329" s="13" t="n">
        <v>-0.0625</v>
      </c>
      <c r="H329" s="14" t="n">
        <v>0.307594021765466</v>
      </c>
      <c r="I329" s="14" t="n">
        <v>0.230389628293333</v>
      </c>
      <c r="J329" s="14" t="n">
        <v>0.462016349941201</v>
      </c>
      <c r="K329" s="12" t="s">
        <v>86</v>
      </c>
      <c r="L329" s="15" t="n">
        <v>1071</v>
      </c>
      <c r="M329" s="15" t="n">
        <v>4</v>
      </c>
    </row>
    <row r="330" customFormat="false" ht="15" hidden="false" customHeight="false" outlineLevel="0" collapsed="false">
      <c r="A330" s="12" t="s">
        <v>34</v>
      </c>
      <c r="B330" s="7" t="s">
        <v>35</v>
      </c>
      <c r="C330" s="12" t="s">
        <v>101</v>
      </c>
      <c r="D330" s="7" t="s">
        <v>31</v>
      </c>
      <c r="E330" s="7" t="s">
        <v>32</v>
      </c>
      <c r="F330" s="12" t="n">
        <f aca="false">IF(D330=E330,1,0)</f>
        <v>0</v>
      </c>
      <c r="G330" s="13" t="n">
        <v>-0.0327552986512523</v>
      </c>
      <c r="H330" s="14" t="n">
        <v>0.349966145740795</v>
      </c>
      <c r="I330" s="14" t="n">
        <v>0.234250420246699</v>
      </c>
      <c r="J330" s="14" t="n">
        <v>0.415783434012506</v>
      </c>
      <c r="K330" s="12" t="s">
        <v>86</v>
      </c>
      <c r="L330" s="15" t="n">
        <v>1071</v>
      </c>
      <c r="M330" s="15" t="n">
        <v>4</v>
      </c>
    </row>
    <row r="331" customFormat="false" ht="15" hidden="false" customHeight="false" outlineLevel="0" collapsed="false">
      <c r="A331" s="12" t="s">
        <v>36</v>
      </c>
      <c r="B331" s="7" t="s">
        <v>37</v>
      </c>
      <c r="C331" s="12" t="s">
        <v>101</v>
      </c>
      <c r="D331" s="7" t="s">
        <v>31</v>
      </c>
      <c r="E331" s="7" t="s">
        <v>32</v>
      </c>
      <c r="F331" s="12" t="n">
        <f aca="false">IF(D331=E331,1,0)</f>
        <v>0</v>
      </c>
      <c r="G331" s="13" t="n">
        <v>-0.0321285140562248</v>
      </c>
      <c r="H331" s="14" t="n">
        <v>0.324047300098622</v>
      </c>
      <c r="I331" s="14" t="n">
        <v>0.249695437680689</v>
      </c>
      <c r="J331" s="14" t="n">
        <v>0.426257262220689</v>
      </c>
      <c r="K331" s="12" t="s">
        <v>86</v>
      </c>
      <c r="L331" s="15" t="n">
        <v>1071</v>
      </c>
      <c r="M331" s="15" t="n">
        <v>4</v>
      </c>
    </row>
    <row r="332" customFormat="false" ht="15" hidden="false" customHeight="false" outlineLevel="0" collapsed="false">
      <c r="A332" s="12" t="s">
        <v>38</v>
      </c>
      <c r="B332" s="7" t="s">
        <v>39</v>
      </c>
      <c r="C332" s="12" t="s">
        <v>101</v>
      </c>
      <c r="D332" s="7" t="s">
        <v>31</v>
      </c>
      <c r="E332" s="7" t="s">
        <v>32</v>
      </c>
      <c r="F332" s="12" t="n">
        <f aca="false">IF(D332=E332,1,0)</f>
        <v>0</v>
      </c>
      <c r="G332" s="13" t="n">
        <v>-0.063947078280044</v>
      </c>
      <c r="H332" s="14" t="n">
        <v>0.336318393588481</v>
      </c>
      <c r="I332" s="14" t="n">
        <v>0.208569982301172</v>
      </c>
      <c r="J332" s="14" t="n">
        <v>0.455111624110348</v>
      </c>
      <c r="K332" s="12" t="s">
        <v>86</v>
      </c>
      <c r="L332" s="15" t="n">
        <v>1071</v>
      </c>
      <c r="M332" s="15" t="n">
        <v>4</v>
      </c>
    </row>
    <row r="333" customFormat="false" ht="15" hidden="false" customHeight="false" outlineLevel="0" collapsed="false">
      <c r="A333" s="12" t="s">
        <v>41</v>
      </c>
      <c r="B333" s="7" t="s">
        <v>42</v>
      </c>
      <c r="C333" s="12" t="s">
        <v>101</v>
      </c>
      <c r="D333" s="7" t="s">
        <v>31</v>
      </c>
      <c r="E333" s="7" t="s">
        <v>32</v>
      </c>
      <c r="F333" s="12" t="n">
        <f aca="false">IF(D333=E333,1,0)</f>
        <v>0</v>
      </c>
      <c r="G333" s="13" t="n">
        <v>-0.0238095238095238</v>
      </c>
      <c r="H333" s="14" t="n">
        <v>0.308009158376115</v>
      </c>
      <c r="I333" s="14" t="n">
        <v>0.244068067674907</v>
      </c>
      <c r="J333" s="14" t="n">
        <v>0.447922773948978</v>
      </c>
      <c r="K333" s="12" t="s">
        <v>86</v>
      </c>
      <c r="L333" s="15" t="n">
        <v>1071</v>
      </c>
      <c r="M333" s="15" t="n">
        <v>4</v>
      </c>
    </row>
    <row r="334" customFormat="false" ht="15" hidden="false" customHeight="false" outlineLevel="0" collapsed="false">
      <c r="A334" s="12" t="s">
        <v>43</v>
      </c>
      <c r="B334" s="7" t="s">
        <v>44</v>
      </c>
      <c r="C334" s="12" t="s">
        <v>101</v>
      </c>
      <c r="D334" s="7" t="s">
        <v>31</v>
      </c>
      <c r="E334" s="7" t="s">
        <v>32</v>
      </c>
      <c r="F334" s="12" t="n">
        <f aca="false">IF(D334=E334,1,0)</f>
        <v>0</v>
      </c>
      <c r="G334" s="13" t="n">
        <v>-0.133920704845815</v>
      </c>
      <c r="H334" s="14" t="n">
        <v>0.346004142103323</v>
      </c>
      <c r="I334" s="14" t="n">
        <v>0.235609761051251</v>
      </c>
      <c r="J334" s="14" t="n">
        <v>0.418386096845426</v>
      </c>
      <c r="K334" s="12" t="s">
        <v>86</v>
      </c>
      <c r="L334" s="15" t="n">
        <v>1071</v>
      </c>
      <c r="M334" s="15" t="n">
        <v>4</v>
      </c>
    </row>
    <row r="335" customFormat="false" ht="15" hidden="false" customHeight="false" outlineLevel="0" collapsed="false">
      <c r="A335" s="12" t="s">
        <v>28</v>
      </c>
      <c r="B335" s="7" t="s">
        <v>29</v>
      </c>
      <c r="C335" s="12" t="s">
        <v>102</v>
      </c>
      <c r="D335" s="7" t="s">
        <v>31</v>
      </c>
      <c r="E335" s="7" t="s">
        <v>40</v>
      </c>
      <c r="F335" s="12" t="n">
        <f aca="false">IF(D335=E335,1,0)</f>
        <v>0</v>
      </c>
      <c r="G335" s="13" t="n">
        <v>-0.005</v>
      </c>
      <c r="H335" s="14" t="n">
        <v>0.305904277168464</v>
      </c>
      <c r="I335" s="14" t="n">
        <v>0.234617424919301</v>
      </c>
      <c r="J335" s="14" t="n">
        <v>0.459478297912235</v>
      </c>
      <c r="K335" s="12" t="s">
        <v>86</v>
      </c>
      <c r="L335" s="15" t="n">
        <v>1071</v>
      </c>
      <c r="M335" s="15" t="n">
        <v>4</v>
      </c>
    </row>
    <row r="336" customFormat="false" ht="15" hidden="false" customHeight="false" outlineLevel="0" collapsed="false">
      <c r="A336" s="12" t="s">
        <v>34</v>
      </c>
      <c r="B336" s="7" t="s">
        <v>35</v>
      </c>
      <c r="C336" s="12" t="s">
        <v>102</v>
      </c>
      <c r="D336" s="7" t="s">
        <v>31</v>
      </c>
      <c r="E336" s="7" t="s">
        <v>32</v>
      </c>
      <c r="F336" s="12" t="n">
        <f aca="false">IF(D336=E336,1,0)</f>
        <v>0</v>
      </c>
      <c r="G336" s="13" t="n">
        <v>-0.03125</v>
      </c>
      <c r="H336" s="14" t="n">
        <v>0.345481148455312</v>
      </c>
      <c r="I336" s="14" t="n">
        <v>0.230386554534803</v>
      </c>
      <c r="J336" s="14" t="n">
        <v>0.424132297009885</v>
      </c>
      <c r="K336" s="12" t="s">
        <v>86</v>
      </c>
      <c r="L336" s="15" t="n">
        <v>1071</v>
      </c>
      <c r="M336" s="15" t="n">
        <v>4</v>
      </c>
    </row>
    <row r="337" customFormat="false" ht="15" hidden="false" customHeight="false" outlineLevel="0" collapsed="false">
      <c r="A337" s="12" t="s">
        <v>36</v>
      </c>
      <c r="B337" s="7" t="s">
        <v>37</v>
      </c>
      <c r="C337" s="12" t="s">
        <v>102</v>
      </c>
      <c r="D337" s="7" t="s">
        <v>31</v>
      </c>
      <c r="E337" s="7" t="s">
        <v>31</v>
      </c>
      <c r="F337" s="12" t="n">
        <f aca="false">IF(D337=E337,1,0)</f>
        <v>1</v>
      </c>
      <c r="G337" s="13" t="n">
        <v>0.0481171548117154</v>
      </c>
      <c r="H337" s="14" t="n">
        <v>0.324047300098622</v>
      </c>
      <c r="I337" s="14" t="n">
        <v>0.249695437680689</v>
      </c>
      <c r="J337" s="14" t="n">
        <v>0.426257262220689</v>
      </c>
      <c r="K337" s="12" t="s">
        <v>86</v>
      </c>
      <c r="L337" s="15" t="n">
        <v>1071</v>
      </c>
      <c r="M337" s="15" t="n">
        <v>4</v>
      </c>
    </row>
    <row r="338" customFormat="false" ht="15" hidden="false" customHeight="false" outlineLevel="0" collapsed="false">
      <c r="A338" s="12" t="s">
        <v>38</v>
      </c>
      <c r="B338" s="7" t="s">
        <v>39</v>
      </c>
      <c r="C338" s="12" t="s">
        <v>102</v>
      </c>
      <c r="D338" s="7" t="s">
        <v>31</v>
      </c>
      <c r="E338" s="7" t="s">
        <v>40</v>
      </c>
      <c r="F338" s="12" t="n">
        <f aca="false">IF(D338=E338,1,0)</f>
        <v>0</v>
      </c>
      <c r="G338" s="13" t="n">
        <v>0.0116686114352391</v>
      </c>
      <c r="H338" s="14" t="n">
        <v>0.318275432000866</v>
      </c>
      <c r="I338" s="14" t="n">
        <v>0.232890619619809</v>
      </c>
      <c r="J338" s="14" t="n">
        <v>0.448833948379326</v>
      </c>
      <c r="K338" s="12" t="s">
        <v>86</v>
      </c>
      <c r="L338" s="15" t="n">
        <v>1071</v>
      </c>
      <c r="M338" s="15" t="n">
        <v>4</v>
      </c>
    </row>
    <row r="339" customFormat="false" ht="15" hidden="false" customHeight="false" outlineLevel="0" collapsed="false">
      <c r="A339" s="12" t="s">
        <v>41</v>
      </c>
      <c r="B339" s="7" t="s">
        <v>42</v>
      </c>
      <c r="C339" s="12" t="s">
        <v>102</v>
      </c>
      <c r="D339" s="7" t="s">
        <v>31</v>
      </c>
      <c r="E339" s="7" t="s">
        <v>40</v>
      </c>
      <c r="F339" s="12" t="n">
        <f aca="false">IF(D339=E339,1,0)</f>
        <v>0</v>
      </c>
      <c r="G339" s="13" t="n">
        <v>-0.0053619302949061</v>
      </c>
      <c r="H339" s="14" t="n">
        <v>0.303866726152039</v>
      </c>
      <c r="I339" s="14" t="n">
        <v>0.2407855827198</v>
      </c>
      <c r="J339" s="14" t="n">
        <v>0.45534769112816</v>
      </c>
      <c r="K339" s="12" t="s">
        <v>86</v>
      </c>
      <c r="L339" s="15" t="n">
        <v>1071</v>
      </c>
      <c r="M339" s="15" t="n">
        <v>4</v>
      </c>
    </row>
    <row r="340" customFormat="false" ht="15" hidden="false" customHeight="false" outlineLevel="0" collapsed="false">
      <c r="A340" s="12" t="s">
        <v>43</v>
      </c>
      <c r="B340" s="7" t="s">
        <v>44</v>
      </c>
      <c r="C340" s="12" t="s">
        <v>102</v>
      </c>
      <c r="D340" s="7" t="s">
        <v>31</v>
      </c>
      <c r="E340" s="7" t="s">
        <v>32</v>
      </c>
      <c r="F340" s="12" t="n">
        <f aca="false">IF(D340=E340,1,0)</f>
        <v>0</v>
      </c>
      <c r="G340" s="13" t="n">
        <v>-0.136363636363636</v>
      </c>
      <c r="H340" s="14" t="n">
        <v>0.332674763536549</v>
      </c>
      <c r="I340" s="14" t="n">
        <v>0.238213270446244</v>
      </c>
      <c r="J340" s="14" t="n">
        <v>0.429111966017207</v>
      </c>
      <c r="K340" s="12" t="s">
        <v>86</v>
      </c>
      <c r="L340" s="15" t="n">
        <v>1071</v>
      </c>
      <c r="M340" s="15" t="n">
        <v>4</v>
      </c>
    </row>
    <row r="341" customFormat="false" ht="15" hidden="false" customHeight="false" outlineLevel="0" collapsed="false">
      <c r="A341" s="12" t="s">
        <v>28</v>
      </c>
      <c r="B341" s="7" t="s">
        <v>29</v>
      </c>
      <c r="C341" s="12" t="s">
        <v>103</v>
      </c>
      <c r="D341" s="7" t="s">
        <v>31</v>
      </c>
      <c r="E341" s="7" t="s">
        <v>40</v>
      </c>
      <c r="F341" s="12" t="n">
        <f aca="false">IF(D341=E341,1,0)</f>
        <v>0</v>
      </c>
      <c r="G341" s="13" t="n">
        <v>-0.005050505050505</v>
      </c>
      <c r="H341" s="14" t="n">
        <v>0.308442035099657</v>
      </c>
      <c r="I341" s="14" t="n">
        <v>0.228267871005615</v>
      </c>
      <c r="J341" s="14" t="n">
        <v>0.463290093894728</v>
      </c>
      <c r="K341" s="12" t="s">
        <v>86</v>
      </c>
      <c r="L341" s="15" t="n">
        <v>1071</v>
      </c>
      <c r="M341" s="15" t="n">
        <v>4</v>
      </c>
    </row>
    <row r="342" customFormat="false" ht="15" hidden="false" customHeight="false" outlineLevel="0" collapsed="false">
      <c r="A342" s="12" t="s">
        <v>34</v>
      </c>
      <c r="B342" s="7" t="s">
        <v>35</v>
      </c>
      <c r="C342" s="12" t="s">
        <v>103</v>
      </c>
      <c r="D342" s="7" t="s">
        <v>31</v>
      </c>
      <c r="E342" s="7" t="s">
        <v>32</v>
      </c>
      <c r="F342" s="12" t="n">
        <f aca="false">IF(D342=E342,1,0)</f>
        <v>0</v>
      </c>
      <c r="G342" s="13" t="n">
        <v>-0.0718446601941747</v>
      </c>
      <c r="H342" s="14" t="n">
        <v>0.344678340665608</v>
      </c>
      <c r="I342" s="14" t="n">
        <v>0.235551621791364</v>
      </c>
      <c r="J342" s="14" t="n">
        <v>0.419770037543027</v>
      </c>
      <c r="K342" s="12" t="s">
        <v>86</v>
      </c>
      <c r="L342" s="15" t="n">
        <v>1071</v>
      </c>
      <c r="M342" s="15" t="n">
        <v>4</v>
      </c>
    </row>
    <row r="343" customFormat="false" ht="15" hidden="false" customHeight="false" outlineLevel="0" collapsed="false">
      <c r="A343" s="12" t="s">
        <v>36</v>
      </c>
      <c r="B343" s="7" t="s">
        <v>37</v>
      </c>
      <c r="C343" s="12" t="s">
        <v>103</v>
      </c>
      <c r="D343" s="7" t="s">
        <v>31</v>
      </c>
      <c r="E343" s="7" t="s">
        <v>31</v>
      </c>
      <c r="F343" s="12" t="n">
        <f aca="false">IF(D343=E343,1,0)</f>
        <v>1</v>
      </c>
      <c r="G343" s="13" t="n">
        <v>0.0313807531380754</v>
      </c>
      <c r="H343" s="14" t="n">
        <v>0.329814887891752</v>
      </c>
      <c r="I343" s="14" t="n">
        <v>0.23246974462728</v>
      </c>
      <c r="J343" s="14" t="n">
        <v>0.437715367480969</v>
      </c>
      <c r="K343" s="12" t="s">
        <v>86</v>
      </c>
      <c r="L343" s="15" t="n">
        <v>1071</v>
      </c>
      <c r="M343" s="15" t="n">
        <v>4</v>
      </c>
    </row>
    <row r="344" customFormat="false" ht="15" hidden="false" customHeight="false" outlineLevel="0" collapsed="false">
      <c r="A344" s="12" t="s">
        <v>38</v>
      </c>
      <c r="B344" s="7" t="s">
        <v>39</v>
      </c>
      <c r="C344" s="12" t="s">
        <v>103</v>
      </c>
      <c r="D344" s="7" t="s">
        <v>31</v>
      </c>
      <c r="E344" s="7" t="s">
        <v>40</v>
      </c>
      <c r="F344" s="12" t="n">
        <f aca="false">IF(D344=E344,1,0)</f>
        <v>0</v>
      </c>
      <c r="G344" s="13" t="n">
        <v>0.0081206496519721</v>
      </c>
      <c r="H344" s="14" t="n">
        <v>0.313285386048582</v>
      </c>
      <c r="I344" s="14" t="n">
        <v>0.221200207790267</v>
      </c>
      <c r="J344" s="14" t="n">
        <v>0.465514406161151</v>
      </c>
      <c r="K344" s="12" t="s">
        <v>86</v>
      </c>
      <c r="L344" s="15" t="n">
        <v>1071</v>
      </c>
      <c r="M344" s="15" t="n">
        <v>4</v>
      </c>
    </row>
    <row r="345" customFormat="false" ht="15" hidden="false" customHeight="false" outlineLevel="0" collapsed="false">
      <c r="A345" s="12" t="s">
        <v>41</v>
      </c>
      <c r="B345" s="7" t="s">
        <v>42</v>
      </c>
      <c r="C345" s="12" t="s">
        <v>103</v>
      </c>
      <c r="D345" s="7" t="s">
        <v>31</v>
      </c>
      <c r="E345" s="7" t="s">
        <v>40</v>
      </c>
      <c r="F345" s="12" t="n">
        <f aca="false">IF(D345=E345,1,0)</f>
        <v>0</v>
      </c>
      <c r="G345" s="13" t="n">
        <v>0.0027027027027026</v>
      </c>
      <c r="H345" s="14" t="n">
        <v>0.320914171177095</v>
      </c>
      <c r="I345" s="14" t="n">
        <v>0.226587482422607</v>
      </c>
      <c r="J345" s="14" t="n">
        <v>0.452498346400298</v>
      </c>
      <c r="K345" s="12" t="s">
        <v>86</v>
      </c>
      <c r="L345" s="15" t="n">
        <v>1071</v>
      </c>
      <c r="M345" s="15" t="n">
        <v>4</v>
      </c>
    </row>
    <row r="346" customFormat="false" ht="15" hidden="false" customHeight="false" outlineLevel="0" collapsed="false">
      <c r="A346" s="12" t="s">
        <v>43</v>
      </c>
      <c r="B346" s="7" t="s">
        <v>44</v>
      </c>
      <c r="C346" s="12" t="s">
        <v>103</v>
      </c>
      <c r="D346" s="7" t="s">
        <v>31</v>
      </c>
      <c r="E346" s="7" t="s">
        <v>32</v>
      </c>
      <c r="F346" s="12" t="n">
        <f aca="false">IF(D346=E346,1,0)</f>
        <v>0</v>
      </c>
      <c r="G346" s="13" t="n">
        <v>-0.161434977578475</v>
      </c>
      <c r="H346" s="14" t="n">
        <v>0.37284752433505</v>
      </c>
      <c r="I346" s="14" t="n">
        <v>0.220411572773459</v>
      </c>
      <c r="J346" s="14" t="n">
        <v>0.406740902891491</v>
      </c>
      <c r="K346" s="12" t="s">
        <v>86</v>
      </c>
      <c r="L346" s="15" t="n">
        <v>1071</v>
      </c>
      <c r="M346" s="15" t="n">
        <v>4</v>
      </c>
    </row>
    <row r="347" customFormat="false" ht="15" hidden="false" customHeight="false" outlineLevel="0" collapsed="false">
      <c r="A347" s="12" t="s">
        <v>28</v>
      </c>
      <c r="B347" s="7" t="s">
        <v>29</v>
      </c>
      <c r="C347" s="12" t="s">
        <v>104</v>
      </c>
      <c r="D347" s="7" t="s">
        <v>31</v>
      </c>
      <c r="E347" s="7" t="s">
        <v>31</v>
      </c>
      <c r="F347" s="12" t="n">
        <f aca="false">IF(D347=E347,1,0)</f>
        <v>1</v>
      </c>
      <c r="G347" s="13" t="n">
        <v>0.146408839779006</v>
      </c>
      <c r="H347" s="14" t="n">
        <v>0.292555784620369</v>
      </c>
      <c r="I347" s="14" t="n">
        <v>0.234753629460804</v>
      </c>
      <c r="J347" s="14" t="n">
        <v>0.472690585918827</v>
      </c>
      <c r="K347" s="12" t="s">
        <v>86</v>
      </c>
      <c r="L347" s="15" t="n">
        <v>1071</v>
      </c>
      <c r="M347" s="15" t="n">
        <v>4</v>
      </c>
    </row>
    <row r="348" customFormat="false" ht="15" hidden="false" customHeight="false" outlineLevel="0" collapsed="false">
      <c r="A348" s="12" t="s">
        <v>34</v>
      </c>
      <c r="B348" s="7" t="s">
        <v>35</v>
      </c>
      <c r="C348" s="12" t="s">
        <v>104</v>
      </c>
      <c r="D348" s="7" t="s">
        <v>31</v>
      </c>
      <c r="E348" s="7" t="s">
        <v>32</v>
      </c>
      <c r="F348" s="12" t="n">
        <f aca="false">IF(D348=E348,1,0)</f>
        <v>0</v>
      </c>
      <c r="G348" s="13" t="n">
        <v>-0.0321931589537223</v>
      </c>
      <c r="H348" s="14" t="n">
        <v>0.321235570617114</v>
      </c>
      <c r="I348" s="14" t="n">
        <v>0.246375967895225</v>
      </c>
      <c r="J348" s="14" t="n">
        <v>0.43238846148766</v>
      </c>
      <c r="K348" s="12" t="s">
        <v>86</v>
      </c>
      <c r="L348" s="15" t="n">
        <v>1071</v>
      </c>
      <c r="M348" s="15" t="n">
        <v>4</v>
      </c>
    </row>
    <row r="349" customFormat="false" ht="15" hidden="false" customHeight="false" outlineLevel="0" collapsed="false">
      <c r="A349" s="12" t="s">
        <v>36</v>
      </c>
      <c r="B349" s="7" t="s">
        <v>37</v>
      </c>
      <c r="C349" s="12" t="s">
        <v>104</v>
      </c>
      <c r="D349" s="7" t="s">
        <v>31</v>
      </c>
      <c r="E349" s="7" t="s">
        <v>31</v>
      </c>
      <c r="F349" s="12" t="n">
        <f aca="false">IF(D349=E349,1,0)</f>
        <v>1</v>
      </c>
      <c r="G349" s="13" t="n">
        <v>0.0448717948717949</v>
      </c>
      <c r="H349" s="14" t="n">
        <v>0.323041752024661</v>
      </c>
      <c r="I349" s="14" t="n">
        <v>0.255162678415447</v>
      </c>
      <c r="J349" s="14" t="n">
        <v>0.421795569559892</v>
      </c>
      <c r="K349" s="12" t="s">
        <v>86</v>
      </c>
      <c r="L349" s="15" t="n">
        <v>1071</v>
      </c>
      <c r="M349" s="15" t="n">
        <v>4</v>
      </c>
    </row>
    <row r="350" customFormat="false" ht="15" hidden="false" customHeight="false" outlineLevel="0" collapsed="false">
      <c r="A350" s="12" t="s">
        <v>38</v>
      </c>
      <c r="B350" s="7" t="s">
        <v>39</v>
      </c>
      <c r="C350" s="12" t="s">
        <v>104</v>
      </c>
      <c r="D350" s="7" t="s">
        <v>31</v>
      </c>
      <c r="E350" s="7" t="s">
        <v>31</v>
      </c>
      <c r="F350" s="12" t="n">
        <f aca="false">IF(D350=E350,1,0)</f>
        <v>1</v>
      </c>
      <c r="G350" s="13" t="n">
        <v>0.0811855670103092</v>
      </c>
      <c r="H350" s="14" t="n">
        <v>0.303321592270617</v>
      </c>
      <c r="I350" s="14" t="n">
        <v>0.226311692536174</v>
      </c>
      <c r="J350" s="14" t="n">
        <v>0.47036671519321</v>
      </c>
      <c r="K350" s="12" t="s">
        <v>86</v>
      </c>
      <c r="L350" s="15" t="n">
        <v>1071</v>
      </c>
      <c r="M350" s="15" t="n">
        <v>4</v>
      </c>
    </row>
    <row r="351" customFormat="false" ht="15" hidden="false" customHeight="false" outlineLevel="0" collapsed="false">
      <c r="A351" s="12" t="s">
        <v>41</v>
      </c>
      <c r="B351" s="7" t="s">
        <v>42</v>
      </c>
      <c r="C351" s="12" t="s">
        <v>104</v>
      </c>
      <c r="D351" s="7" t="s">
        <v>31</v>
      </c>
      <c r="E351" s="7" t="s">
        <v>31</v>
      </c>
      <c r="F351" s="12" t="n">
        <f aca="false">IF(D351=E351,1,0)</f>
        <v>1</v>
      </c>
      <c r="G351" s="13" t="n">
        <v>0.0773480662983425</v>
      </c>
      <c r="H351" s="14" t="n">
        <v>0.322683603573681</v>
      </c>
      <c r="I351" s="14" t="n">
        <v>0.22232309871058</v>
      </c>
      <c r="J351" s="14" t="n">
        <v>0.454993297715739</v>
      </c>
      <c r="K351" s="12" t="s">
        <v>86</v>
      </c>
      <c r="L351" s="15" t="n">
        <v>1071</v>
      </c>
      <c r="M351" s="15" t="n">
        <v>4</v>
      </c>
    </row>
    <row r="352" customFormat="false" ht="15" hidden="false" customHeight="false" outlineLevel="0" collapsed="false">
      <c r="A352" s="12" t="s">
        <v>43</v>
      </c>
      <c r="B352" s="7" t="s">
        <v>44</v>
      </c>
      <c r="C352" s="12" t="s">
        <v>104</v>
      </c>
      <c r="D352" s="7" t="s">
        <v>31</v>
      </c>
      <c r="E352" s="7" t="s">
        <v>32</v>
      </c>
      <c r="F352" s="12" t="n">
        <f aca="false">IF(D352=E352,1,0)</f>
        <v>0</v>
      </c>
      <c r="G352" s="13" t="n">
        <v>-0.116981132075472</v>
      </c>
      <c r="H352" s="14" t="n">
        <v>0.349769792631275</v>
      </c>
      <c r="I352" s="14" t="n">
        <v>0.241104672968845</v>
      </c>
      <c r="J352" s="14" t="n">
        <v>0.40912553439988</v>
      </c>
      <c r="K352" s="12" t="s">
        <v>86</v>
      </c>
      <c r="L352" s="15" t="n">
        <v>1071</v>
      </c>
      <c r="M352" s="15" t="n">
        <v>4</v>
      </c>
    </row>
    <row r="353" customFormat="false" ht="15" hidden="false" customHeight="false" outlineLevel="0" collapsed="false">
      <c r="A353" s="12" t="s">
        <v>28</v>
      </c>
      <c r="B353" s="7" t="s">
        <v>29</v>
      </c>
      <c r="C353" s="12" t="s">
        <v>105</v>
      </c>
      <c r="D353" s="7" t="s">
        <v>31</v>
      </c>
      <c r="E353" s="7" t="s">
        <v>31</v>
      </c>
      <c r="F353" s="12" t="n">
        <f aca="false">IF(D353=E353,1,0)</f>
        <v>1</v>
      </c>
      <c r="G353" s="13" t="n">
        <v>0.0472440944881888</v>
      </c>
      <c r="H353" s="14" t="n">
        <v>0.297222386892281</v>
      </c>
      <c r="I353" s="14" t="n">
        <v>0.220290197435224</v>
      </c>
      <c r="J353" s="14" t="n">
        <v>0.482487415672495</v>
      </c>
      <c r="K353" s="12" t="s">
        <v>86</v>
      </c>
      <c r="L353" s="15" t="n">
        <v>1071</v>
      </c>
      <c r="M353" s="15" t="n">
        <v>4</v>
      </c>
    </row>
    <row r="354" customFormat="false" ht="15" hidden="false" customHeight="false" outlineLevel="0" collapsed="false">
      <c r="A354" s="12" t="s">
        <v>34</v>
      </c>
      <c r="B354" s="7" t="s">
        <v>35</v>
      </c>
      <c r="C354" s="12" t="s">
        <v>105</v>
      </c>
      <c r="D354" s="7" t="s">
        <v>31</v>
      </c>
      <c r="E354" s="7" t="s">
        <v>32</v>
      </c>
      <c r="F354" s="12" t="n">
        <f aca="false">IF(D354=E354,1,0)</f>
        <v>0</v>
      </c>
      <c r="G354" s="13" t="n">
        <v>-0.0182555780933062</v>
      </c>
      <c r="H354" s="14" t="n">
        <v>0.312629178179739</v>
      </c>
      <c r="I354" s="14" t="n">
        <v>0.243854352857694</v>
      </c>
      <c r="J354" s="14" t="n">
        <v>0.443516468962566</v>
      </c>
      <c r="K354" s="12" t="s">
        <v>86</v>
      </c>
      <c r="L354" s="15" t="n">
        <v>1071</v>
      </c>
      <c r="M354" s="15" t="n">
        <v>4</v>
      </c>
    </row>
    <row r="355" customFormat="false" ht="15" hidden="false" customHeight="false" outlineLevel="0" collapsed="false">
      <c r="A355" s="12" t="s">
        <v>36</v>
      </c>
      <c r="B355" s="7" t="s">
        <v>37</v>
      </c>
      <c r="C355" s="12" t="s">
        <v>105</v>
      </c>
      <c r="D355" s="7" t="s">
        <v>31</v>
      </c>
      <c r="E355" s="7" t="s">
        <v>31</v>
      </c>
      <c r="F355" s="12" t="n">
        <f aca="false">IF(D355=E355,1,0)</f>
        <v>1</v>
      </c>
      <c r="G355" s="13" t="n">
        <v>0.0379746835443037</v>
      </c>
      <c r="H355" s="14" t="n">
        <v>0.33265543106255</v>
      </c>
      <c r="I355" s="14" t="n">
        <v>0.252148389792814</v>
      </c>
      <c r="J355" s="14" t="n">
        <v>0.415196179144636</v>
      </c>
      <c r="K355" s="12" t="s">
        <v>86</v>
      </c>
      <c r="L355" s="15" t="n">
        <v>1071</v>
      </c>
      <c r="M355" s="15" t="n">
        <v>4</v>
      </c>
    </row>
    <row r="356" customFormat="false" ht="15" hidden="false" customHeight="false" outlineLevel="0" collapsed="false">
      <c r="A356" s="12" t="s">
        <v>38</v>
      </c>
      <c r="B356" s="7" t="s">
        <v>39</v>
      </c>
      <c r="C356" s="12" t="s">
        <v>105</v>
      </c>
      <c r="D356" s="7" t="s">
        <v>31</v>
      </c>
      <c r="E356" s="7" t="s">
        <v>31</v>
      </c>
      <c r="F356" s="12" t="n">
        <f aca="false">IF(D356=E356,1,0)</f>
        <v>1</v>
      </c>
      <c r="G356" s="13" t="n">
        <v>0.0549872122762147</v>
      </c>
      <c r="H356" s="14" t="n">
        <v>0.30986371598187</v>
      </c>
      <c r="I356" s="14" t="n">
        <v>0.220972862479146</v>
      </c>
      <c r="J356" s="14" t="n">
        <v>0.469163421538984</v>
      </c>
      <c r="K356" s="12" t="s">
        <v>86</v>
      </c>
      <c r="L356" s="15" t="n">
        <v>1071</v>
      </c>
      <c r="M356" s="15" t="n">
        <v>4</v>
      </c>
    </row>
    <row r="357" customFormat="false" ht="15" hidden="false" customHeight="false" outlineLevel="0" collapsed="false">
      <c r="A357" s="12" t="s">
        <v>41</v>
      </c>
      <c r="B357" s="7" t="s">
        <v>42</v>
      </c>
      <c r="C357" s="12" t="s">
        <v>105</v>
      </c>
      <c r="D357" s="7" t="s">
        <v>31</v>
      </c>
      <c r="E357" s="7" t="s">
        <v>31</v>
      </c>
      <c r="F357" s="12" t="n">
        <f aca="false">IF(D357=E357,1,0)</f>
        <v>1</v>
      </c>
      <c r="G357" s="13" t="n">
        <v>0.0625</v>
      </c>
      <c r="H357" s="14" t="n">
        <v>0.346264808727271</v>
      </c>
      <c r="I357" s="14" t="n">
        <v>0.224663933942112</v>
      </c>
      <c r="J357" s="14" t="n">
        <v>0.429071257330617</v>
      </c>
      <c r="K357" s="12" t="s">
        <v>86</v>
      </c>
      <c r="L357" s="15" t="n">
        <v>1071</v>
      </c>
      <c r="M357" s="15" t="n">
        <v>4</v>
      </c>
    </row>
    <row r="358" customFormat="false" ht="15" hidden="false" customHeight="false" outlineLevel="0" collapsed="false">
      <c r="A358" s="12" t="s">
        <v>43</v>
      </c>
      <c r="B358" s="7" t="s">
        <v>44</v>
      </c>
      <c r="C358" s="12" t="s">
        <v>105</v>
      </c>
      <c r="D358" s="7" t="s">
        <v>31</v>
      </c>
      <c r="E358" s="7" t="s">
        <v>32</v>
      </c>
      <c r="F358" s="12" t="n">
        <f aca="false">IF(D358=E358,1,0)</f>
        <v>0</v>
      </c>
      <c r="G358" s="13" t="n">
        <v>-0.0798029556650246</v>
      </c>
      <c r="H358" s="14" t="n">
        <v>0.301639961140844</v>
      </c>
      <c r="I358" s="14" t="n">
        <v>0.24266811094599</v>
      </c>
      <c r="J358" s="14" t="n">
        <v>0.455691927913166</v>
      </c>
      <c r="K358" s="12" t="s">
        <v>86</v>
      </c>
      <c r="L358" s="15" t="n">
        <v>1071</v>
      </c>
      <c r="M358" s="15" t="n">
        <v>4</v>
      </c>
    </row>
    <row r="359" customFormat="false" ht="15" hidden="false" customHeight="false" outlineLevel="0" collapsed="false">
      <c r="A359" s="12" t="s">
        <v>28</v>
      </c>
      <c r="B359" s="7" t="s">
        <v>29</v>
      </c>
      <c r="C359" s="12" t="s">
        <v>106</v>
      </c>
      <c r="D359" s="7" t="s">
        <v>31</v>
      </c>
      <c r="E359" s="7" t="s">
        <v>32</v>
      </c>
      <c r="F359" s="12" t="n">
        <f aca="false">IF(D359=E359,1,0)</f>
        <v>0</v>
      </c>
      <c r="G359" s="13" t="n">
        <v>-0.0307692307692307</v>
      </c>
      <c r="H359" s="14" t="n">
        <v>0.289329730732386</v>
      </c>
      <c r="I359" s="14" t="n">
        <v>0.223898258035663</v>
      </c>
      <c r="J359" s="14" t="n">
        <v>0.486772011231951</v>
      </c>
      <c r="K359" s="12" t="s">
        <v>86</v>
      </c>
      <c r="L359" s="15" t="n">
        <v>1071</v>
      </c>
      <c r="M359" s="15" t="n">
        <v>4</v>
      </c>
    </row>
    <row r="360" customFormat="false" ht="15" hidden="false" customHeight="false" outlineLevel="0" collapsed="false">
      <c r="A360" s="12" t="s">
        <v>34</v>
      </c>
      <c r="B360" s="7" t="s">
        <v>35</v>
      </c>
      <c r="C360" s="12" t="s">
        <v>106</v>
      </c>
      <c r="D360" s="7" t="s">
        <v>31</v>
      </c>
      <c r="E360" s="7" t="s">
        <v>32</v>
      </c>
      <c r="F360" s="12" t="n">
        <f aca="false">IF(D360=E360,1,0)</f>
        <v>0</v>
      </c>
      <c r="G360" s="13" t="n">
        <v>-0.0557768924302788</v>
      </c>
      <c r="H360" s="14" t="n">
        <v>0.333055944288866</v>
      </c>
      <c r="I360" s="14" t="n">
        <v>0.241508758992644</v>
      </c>
      <c r="J360" s="14" t="n">
        <v>0.42543529671849</v>
      </c>
      <c r="K360" s="12" t="s">
        <v>86</v>
      </c>
      <c r="L360" s="15" t="n">
        <v>1071</v>
      </c>
      <c r="M360" s="15" t="n">
        <v>4</v>
      </c>
    </row>
    <row r="361" customFormat="false" ht="15" hidden="false" customHeight="false" outlineLevel="0" collapsed="false">
      <c r="A361" s="12" t="s">
        <v>36</v>
      </c>
      <c r="B361" s="7" t="s">
        <v>37</v>
      </c>
      <c r="C361" s="12" t="s">
        <v>106</v>
      </c>
      <c r="D361" s="7" t="s">
        <v>31</v>
      </c>
      <c r="E361" s="7" t="s">
        <v>31</v>
      </c>
      <c r="F361" s="12" t="n">
        <f aca="false">IF(D361=E361,1,0)</f>
        <v>1</v>
      </c>
      <c r="G361" s="13" t="n">
        <v>0.0124481327800829</v>
      </c>
      <c r="H361" s="14" t="n">
        <v>0.325386672909992</v>
      </c>
      <c r="I361" s="14" t="n">
        <v>0.246594231373117</v>
      </c>
      <c r="J361" s="14" t="n">
        <v>0.428019095716891</v>
      </c>
      <c r="K361" s="12" t="s">
        <v>86</v>
      </c>
      <c r="L361" s="15" t="n">
        <v>1071</v>
      </c>
      <c r="M361" s="15" t="n">
        <v>4</v>
      </c>
    </row>
    <row r="362" customFormat="false" ht="15" hidden="false" customHeight="false" outlineLevel="0" collapsed="false">
      <c r="A362" s="12" t="s">
        <v>38</v>
      </c>
      <c r="B362" s="7" t="s">
        <v>39</v>
      </c>
      <c r="C362" s="12" t="s">
        <v>106</v>
      </c>
      <c r="D362" s="7" t="s">
        <v>31</v>
      </c>
      <c r="E362" s="7" t="s">
        <v>32</v>
      </c>
      <c r="F362" s="12" t="n">
        <f aca="false">IF(D362=E362,1,0)</f>
        <v>0</v>
      </c>
      <c r="G362" s="13" t="n">
        <v>-0.0506478209658421</v>
      </c>
      <c r="H362" s="14" t="n">
        <v>0.308735401042352</v>
      </c>
      <c r="I362" s="14" t="n">
        <v>0.223885290082002</v>
      </c>
      <c r="J362" s="14" t="n">
        <v>0.467379308875646</v>
      </c>
      <c r="K362" s="12" t="s">
        <v>86</v>
      </c>
      <c r="L362" s="15" t="n">
        <v>1071</v>
      </c>
      <c r="M362" s="15" t="n">
        <v>4</v>
      </c>
    </row>
    <row r="363" customFormat="false" ht="15" hidden="false" customHeight="false" outlineLevel="0" collapsed="false">
      <c r="A363" s="12" t="s">
        <v>41</v>
      </c>
      <c r="B363" s="7" t="s">
        <v>42</v>
      </c>
      <c r="C363" s="12" t="s">
        <v>106</v>
      </c>
      <c r="D363" s="7" t="s">
        <v>31</v>
      </c>
      <c r="E363" s="7" t="s">
        <v>31</v>
      </c>
      <c r="F363" s="12" t="n">
        <f aca="false">IF(D363=E363,1,0)</f>
        <v>1</v>
      </c>
      <c r="G363" s="13" t="n">
        <v>0.018970189701897</v>
      </c>
      <c r="H363" s="14" t="n">
        <v>0.346264808727271</v>
      </c>
      <c r="I363" s="14" t="n">
        <v>0.224663933942112</v>
      </c>
      <c r="J363" s="14" t="n">
        <v>0.429071257330617</v>
      </c>
      <c r="K363" s="12" t="s">
        <v>86</v>
      </c>
      <c r="L363" s="15" t="n">
        <v>1071</v>
      </c>
      <c r="M363" s="15" t="n">
        <v>4</v>
      </c>
    </row>
    <row r="364" customFormat="false" ht="15" hidden="false" customHeight="false" outlineLevel="0" collapsed="false">
      <c r="A364" s="12" t="s">
        <v>43</v>
      </c>
      <c r="B364" s="7" t="s">
        <v>44</v>
      </c>
      <c r="C364" s="12" t="s">
        <v>106</v>
      </c>
      <c r="D364" s="7" t="s">
        <v>31</v>
      </c>
      <c r="E364" s="7" t="s">
        <v>32</v>
      </c>
      <c r="F364" s="12" t="n">
        <f aca="false">IF(D364=E364,1,0)</f>
        <v>0</v>
      </c>
      <c r="G364" s="13" t="n">
        <v>-0.0132248219735503</v>
      </c>
      <c r="H364" s="14" t="n">
        <v>0.327649089271081</v>
      </c>
      <c r="I364" s="14" t="n">
        <v>0.225788603789695</v>
      </c>
      <c r="J364" s="14" t="n">
        <v>0.446562306939224</v>
      </c>
      <c r="K364" s="12" t="s">
        <v>86</v>
      </c>
      <c r="L364" s="15" t="n">
        <v>1071</v>
      </c>
      <c r="M364" s="15" t="n">
        <v>4</v>
      </c>
    </row>
    <row r="365" customFormat="false" ht="15" hidden="false" customHeight="false" outlineLevel="0" collapsed="false">
      <c r="A365" s="12" t="s">
        <v>28</v>
      </c>
      <c r="B365" s="7" t="s">
        <v>29</v>
      </c>
      <c r="C365" s="12" t="s">
        <v>107</v>
      </c>
      <c r="D365" s="7" t="s">
        <v>31</v>
      </c>
      <c r="E365" s="7" t="s">
        <v>32</v>
      </c>
      <c r="F365" s="12" t="n">
        <f aca="false">IF(D365=E365,1,0)</f>
        <v>0</v>
      </c>
      <c r="G365" s="13" t="n">
        <v>-0.0527638190954773</v>
      </c>
      <c r="H365" s="14" t="n">
        <v>0.268741044550695</v>
      </c>
      <c r="I365" s="14" t="n">
        <v>0.173557808712035</v>
      </c>
      <c r="J365" s="14" t="n">
        <v>0.55770114673727</v>
      </c>
      <c r="K365" s="12" t="s">
        <v>108</v>
      </c>
      <c r="L365" s="15" t="n">
        <v>1196</v>
      </c>
      <c r="M365" s="15" t="n">
        <v>10</v>
      </c>
    </row>
    <row r="366" customFormat="false" ht="15" hidden="false" customHeight="false" outlineLevel="0" collapsed="false">
      <c r="A366" s="12" t="s">
        <v>34</v>
      </c>
      <c r="B366" s="7" t="s">
        <v>35</v>
      </c>
      <c r="C366" s="12" t="s">
        <v>107</v>
      </c>
      <c r="D366" s="7" t="s">
        <v>31</v>
      </c>
      <c r="E366" s="7" t="s">
        <v>32</v>
      </c>
      <c r="F366" s="12" t="n">
        <f aca="false">IF(D366=E366,1,0)</f>
        <v>0</v>
      </c>
      <c r="G366" s="13" t="n">
        <v>-0.0423387096774193</v>
      </c>
      <c r="H366" s="14" t="n">
        <v>0.356999806425633</v>
      </c>
      <c r="I366" s="14" t="n">
        <v>0.212414895776494</v>
      </c>
      <c r="J366" s="14" t="n">
        <v>0.430585297797873</v>
      </c>
      <c r="K366" s="12" t="s">
        <v>108</v>
      </c>
      <c r="L366" s="15" t="n">
        <v>1196</v>
      </c>
      <c r="M366" s="15" t="n">
        <v>10</v>
      </c>
    </row>
    <row r="367" customFormat="false" ht="15" hidden="false" customHeight="false" outlineLevel="0" collapsed="false">
      <c r="A367" s="12" t="s">
        <v>36</v>
      </c>
      <c r="B367" s="7" t="s">
        <v>37</v>
      </c>
      <c r="C367" s="12" t="s">
        <v>107</v>
      </c>
      <c r="D367" s="7" t="s">
        <v>31</v>
      </c>
      <c r="E367" s="7" t="s">
        <v>32</v>
      </c>
      <c r="F367" s="12" t="n">
        <f aca="false">IF(D367=E367,1,0)</f>
        <v>0</v>
      </c>
      <c r="G367" s="13" t="n">
        <v>-0.0159680638722554</v>
      </c>
      <c r="H367" s="14" t="n">
        <v>0.313496534164847</v>
      </c>
      <c r="I367" s="14" t="n">
        <v>0.200569837288507</v>
      </c>
      <c r="J367" s="14" t="n">
        <v>0.485933628546646</v>
      </c>
      <c r="K367" s="12" t="s">
        <v>108</v>
      </c>
      <c r="L367" s="15" t="n">
        <v>1196</v>
      </c>
      <c r="M367" s="15" t="n">
        <v>10</v>
      </c>
    </row>
    <row r="368" customFormat="false" ht="15" hidden="false" customHeight="false" outlineLevel="0" collapsed="false">
      <c r="A368" s="12" t="s">
        <v>38</v>
      </c>
      <c r="B368" s="7" t="s">
        <v>39</v>
      </c>
      <c r="C368" s="12" t="s">
        <v>107</v>
      </c>
      <c r="D368" s="7" t="s">
        <v>31</v>
      </c>
      <c r="E368" s="7" t="s">
        <v>32</v>
      </c>
      <c r="F368" s="12" t="n">
        <f aca="false">IF(D368=E368,1,0)</f>
        <v>0</v>
      </c>
      <c r="G368" s="13" t="n">
        <v>-0.0784313725490196</v>
      </c>
      <c r="H368" s="14" t="n">
        <v>0.258329682839162</v>
      </c>
      <c r="I368" s="14" t="n">
        <v>0.179487617340145</v>
      </c>
      <c r="J368" s="14" t="n">
        <v>0.562182699820693</v>
      </c>
      <c r="K368" s="12" t="s">
        <v>108</v>
      </c>
      <c r="L368" s="15" t="n">
        <v>1196</v>
      </c>
      <c r="M368" s="15" t="n">
        <v>10</v>
      </c>
    </row>
    <row r="369" customFormat="false" ht="15" hidden="false" customHeight="false" outlineLevel="0" collapsed="false">
      <c r="A369" s="12" t="s">
        <v>41</v>
      </c>
      <c r="B369" s="7" t="s">
        <v>42</v>
      </c>
      <c r="C369" s="12" t="s">
        <v>107</v>
      </c>
      <c r="D369" s="7" t="s">
        <v>31</v>
      </c>
      <c r="E369" s="7" t="s">
        <v>31</v>
      </c>
      <c r="F369" s="12" t="n">
        <f aca="false">IF(D369=E369,1,0)</f>
        <v>1</v>
      </c>
      <c r="G369" s="13" t="n">
        <v>0.0566037735849056</v>
      </c>
      <c r="H369" s="14" t="n">
        <v>0.327341459648033</v>
      </c>
      <c r="I369" s="14" t="n">
        <v>0.194814342637968</v>
      </c>
      <c r="J369" s="14" t="n">
        <v>0.477844197713999</v>
      </c>
      <c r="K369" s="12" t="s">
        <v>108</v>
      </c>
      <c r="L369" s="15" t="n">
        <v>1196</v>
      </c>
      <c r="M369" s="15" t="n">
        <v>10</v>
      </c>
    </row>
    <row r="370" customFormat="false" ht="15" hidden="false" customHeight="false" outlineLevel="0" collapsed="false">
      <c r="A370" s="12" t="s">
        <v>43</v>
      </c>
      <c r="B370" s="7" t="s">
        <v>44</v>
      </c>
      <c r="C370" s="12" t="s">
        <v>107</v>
      </c>
      <c r="D370" s="7" t="s">
        <v>31</v>
      </c>
      <c r="E370" s="7" t="s">
        <v>31</v>
      </c>
      <c r="F370" s="12" t="n">
        <f aca="false">IF(D370=E370,1,0)</f>
        <v>1</v>
      </c>
      <c r="G370" s="13" t="n">
        <v>0.0315789473684211</v>
      </c>
      <c r="H370" s="14" t="n">
        <v>0.243458587913897</v>
      </c>
      <c r="I370" s="14" t="n">
        <v>0.192204515509247</v>
      </c>
      <c r="J370" s="14" t="n">
        <v>0.564336896576856</v>
      </c>
      <c r="K370" s="12" t="s">
        <v>108</v>
      </c>
      <c r="L370" s="15" t="n">
        <v>1196</v>
      </c>
      <c r="M370" s="15" t="n">
        <v>10</v>
      </c>
    </row>
    <row r="371" customFormat="false" ht="15" hidden="false" customHeight="false" outlineLevel="0" collapsed="false">
      <c r="A371" s="12" t="s">
        <v>28</v>
      </c>
      <c r="B371" s="7" t="s">
        <v>29</v>
      </c>
      <c r="C371" s="12" t="s">
        <v>109</v>
      </c>
      <c r="D371" s="7" t="s">
        <v>31</v>
      </c>
      <c r="E371" s="7" t="s">
        <v>32</v>
      </c>
      <c r="F371" s="12" t="n">
        <f aca="false">IF(D371=E371,1,0)</f>
        <v>0</v>
      </c>
      <c r="G371" s="13" t="n">
        <v>-0.0456852791878172</v>
      </c>
      <c r="H371" s="14" t="n">
        <v>0.287888511455519</v>
      </c>
      <c r="I371" s="14" t="n">
        <v>0.179781707037902</v>
      </c>
      <c r="J371" s="14" t="n">
        <v>0.532329781506579</v>
      </c>
      <c r="K371" s="12" t="s">
        <v>108</v>
      </c>
      <c r="L371" s="15" t="n">
        <v>1196</v>
      </c>
      <c r="M371" s="15" t="n">
        <v>10</v>
      </c>
    </row>
    <row r="372" customFormat="false" ht="15" hidden="false" customHeight="false" outlineLevel="0" collapsed="false">
      <c r="A372" s="12" t="s">
        <v>34</v>
      </c>
      <c r="B372" s="7" t="s">
        <v>35</v>
      </c>
      <c r="C372" s="12" t="s">
        <v>109</v>
      </c>
      <c r="D372" s="7" t="s">
        <v>31</v>
      </c>
      <c r="E372" s="7" t="s">
        <v>40</v>
      </c>
      <c r="F372" s="12" t="n">
        <f aca="false">IF(D372=E372,1,0)</f>
        <v>0</v>
      </c>
      <c r="G372" s="13" t="n">
        <v>-0.0062761506276151</v>
      </c>
      <c r="H372" s="14" t="n">
        <v>0.325975171717197</v>
      </c>
      <c r="I372" s="14" t="n">
        <v>0.205329143854677</v>
      </c>
      <c r="J372" s="14" t="n">
        <v>0.468695684428126</v>
      </c>
      <c r="K372" s="12" t="s">
        <v>108</v>
      </c>
      <c r="L372" s="15" t="n">
        <v>1196</v>
      </c>
      <c r="M372" s="15" t="n">
        <v>10</v>
      </c>
    </row>
    <row r="373" customFormat="false" ht="15" hidden="false" customHeight="false" outlineLevel="0" collapsed="false">
      <c r="A373" s="12" t="s">
        <v>36</v>
      </c>
      <c r="B373" s="7" t="s">
        <v>37</v>
      </c>
      <c r="C373" s="12" t="s">
        <v>109</v>
      </c>
      <c r="D373" s="7" t="s">
        <v>31</v>
      </c>
      <c r="E373" s="7" t="s">
        <v>32</v>
      </c>
      <c r="F373" s="12" t="n">
        <f aca="false">IF(D373=E373,1,0)</f>
        <v>0</v>
      </c>
      <c r="G373" s="13" t="n">
        <v>-0.0202839756592292</v>
      </c>
      <c r="H373" s="14" t="n">
        <v>0.337070490556361</v>
      </c>
      <c r="I373" s="14" t="n">
        <v>0.218318685842175</v>
      </c>
      <c r="J373" s="14" t="n">
        <v>0.444610823601464</v>
      </c>
      <c r="K373" s="12" t="s">
        <v>108</v>
      </c>
      <c r="L373" s="15" t="n">
        <v>1196</v>
      </c>
      <c r="M373" s="15" t="n">
        <v>10</v>
      </c>
    </row>
    <row r="374" customFormat="false" ht="15" hidden="false" customHeight="false" outlineLevel="0" collapsed="false">
      <c r="A374" s="12" t="s">
        <v>38</v>
      </c>
      <c r="B374" s="7" t="s">
        <v>39</v>
      </c>
      <c r="C374" s="12" t="s">
        <v>109</v>
      </c>
      <c r="D374" s="7" t="s">
        <v>31</v>
      </c>
      <c r="E374" s="7" t="s">
        <v>32</v>
      </c>
      <c r="F374" s="12" t="n">
        <f aca="false">IF(D374=E374,1,0)</f>
        <v>0</v>
      </c>
      <c r="G374" s="13" t="n">
        <v>-0.096662830840046</v>
      </c>
      <c r="H374" s="14" t="n">
        <v>0.278979049164978</v>
      </c>
      <c r="I374" s="14" t="n">
        <v>0.186688580247311</v>
      </c>
      <c r="J374" s="14" t="n">
        <v>0.534332370587711</v>
      </c>
      <c r="K374" s="12" t="s">
        <v>108</v>
      </c>
      <c r="L374" s="15" t="n">
        <v>1196</v>
      </c>
      <c r="M374" s="15" t="n">
        <v>10</v>
      </c>
    </row>
    <row r="375" customFormat="false" ht="15" hidden="false" customHeight="false" outlineLevel="0" collapsed="false">
      <c r="A375" s="12" t="s">
        <v>41</v>
      </c>
      <c r="B375" s="7" t="s">
        <v>42</v>
      </c>
      <c r="C375" s="12" t="s">
        <v>109</v>
      </c>
      <c r="D375" s="7" t="s">
        <v>31</v>
      </c>
      <c r="E375" s="7" t="s">
        <v>31</v>
      </c>
      <c r="F375" s="12" t="n">
        <f aca="false">IF(D375=E375,1,0)</f>
        <v>1</v>
      </c>
      <c r="G375" s="13" t="n">
        <v>0.0485175202156333</v>
      </c>
      <c r="H375" s="14" t="n">
        <v>0.307732582782302</v>
      </c>
      <c r="I375" s="14" t="n">
        <v>0.197207224702098</v>
      </c>
      <c r="J375" s="14" t="n">
        <v>0.4950601925156</v>
      </c>
      <c r="K375" s="12" t="s">
        <v>108</v>
      </c>
      <c r="L375" s="15" t="n">
        <v>1196</v>
      </c>
      <c r="M375" s="15" t="n">
        <v>10</v>
      </c>
    </row>
    <row r="376" customFormat="false" ht="15" hidden="false" customHeight="false" outlineLevel="0" collapsed="false">
      <c r="A376" s="12" t="s">
        <v>43</v>
      </c>
      <c r="B376" s="7" t="s">
        <v>44</v>
      </c>
      <c r="C376" s="12" t="s">
        <v>109</v>
      </c>
      <c r="D376" s="7" t="s">
        <v>31</v>
      </c>
      <c r="E376" s="7" t="s">
        <v>31</v>
      </c>
      <c r="F376" s="12" t="n">
        <f aca="false">IF(D376=E376,1,0)</f>
        <v>1</v>
      </c>
      <c r="G376" s="13" t="n">
        <v>0.0299465240641712</v>
      </c>
      <c r="H376" s="14" t="n">
        <v>0.254459907083875</v>
      </c>
      <c r="I376" s="14" t="n">
        <v>0.199074031215206</v>
      </c>
      <c r="J376" s="14" t="n">
        <v>0.546466061700919</v>
      </c>
      <c r="K376" s="12" t="s">
        <v>108</v>
      </c>
      <c r="L376" s="15" t="n">
        <v>1196</v>
      </c>
      <c r="M376" s="15" t="n">
        <v>10</v>
      </c>
    </row>
    <row r="377" customFormat="false" ht="15" hidden="false" customHeight="false" outlineLevel="0" collapsed="false">
      <c r="A377" s="12" t="s">
        <v>28</v>
      </c>
      <c r="B377" s="7" t="s">
        <v>29</v>
      </c>
      <c r="C377" s="12" t="s">
        <v>110</v>
      </c>
      <c r="D377" s="7" t="s">
        <v>31</v>
      </c>
      <c r="E377" s="7" t="s">
        <v>32</v>
      </c>
      <c r="F377" s="12" t="n">
        <f aca="false">IF(D377=E377,1,0)</f>
        <v>0</v>
      </c>
      <c r="G377" s="13" t="n">
        <v>-0.089156626506024</v>
      </c>
      <c r="H377" s="14" t="n">
        <v>0.236747360945252</v>
      </c>
      <c r="I377" s="14" t="n">
        <v>0.206798532370833</v>
      </c>
      <c r="J377" s="14" t="n">
        <v>0.556454106683915</v>
      </c>
      <c r="K377" s="12" t="s">
        <v>108</v>
      </c>
      <c r="L377" s="15" t="n">
        <v>1196</v>
      </c>
      <c r="M377" s="15" t="n">
        <v>10</v>
      </c>
    </row>
    <row r="378" customFormat="false" ht="15" hidden="false" customHeight="false" outlineLevel="0" collapsed="false">
      <c r="A378" s="12" t="s">
        <v>34</v>
      </c>
      <c r="B378" s="7" t="s">
        <v>35</v>
      </c>
      <c r="C378" s="12" t="s">
        <v>110</v>
      </c>
      <c r="D378" s="7" t="s">
        <v>31</v>
      </c>
      <c r="E378" s="7" t="s">
        <v>32</v>
      </c>
      <c r="F378" s="12" t="n">
        <f aca="false">IF(D378=E378,1,0)</f>
        <v>0</v>
      </c>
      <c r="G378" s="13" t="n">
        <v>-0.0166320166320166</v>
      </c>
      <c r="H378" s="14" t="n">
        <v>0.315892582798989</v>
      </c>
      <c r="I378" s="14" t="n">
        <v>0.215319650049904</v>
      </c>
      <c r="J378" s="14" t="n">
        <v>0.468787767151108</v>
      </c>
      <c r="K378" s="12" t="s">
        <v>108</v>
      </c>
      <c r="L378" s="15" t="n">
        <v>1196</v>
      </c>
      <c r="M378" s="15" t="n">
        <v>10</v>
      </c>
    </row>
    <row r="379" customFormat="false" ht="15" hidden="false" customHeight="false" outlineLevel="0" collapsed="false">
      <c r="A379" s="12" t="s">
        <v>36</v>
      </c>
      <c r="B379" s="7" t="s">
        <v>37</v>
      </c>
      <c r="C379" s="12" t="s">
        <v>110</v>
      </c>
      <c r="D379" s="7" t="s">
        <v>31</v>
      </c>
      <c r="E379" s="7" t="s">
        <v>40</v>
      </c>
      <c r="F379" s="12" t="n">
        <f aca="false">IF(D379=E379,1,0)</f>
        <v>0</v>
      </c>
      <c r="G379" s="13" t="n">
        <v>-0.002044989775051</v>
      </c>
      <c r="H379" s="14" t="n">
        <v>0.341772397637288</v>
      </c>
      <c r="I379" s="14" t="n">
        <v>0.227402468432195</v>
      </c>
      <c r="J379" s="14" t="n">
        <v>0.430825133930516</v>
      </c>
      <c r="K379" s="12" t="s">
        <v>108</v>
      </c>
      <c r="L379" s="15" t="n">
        <v>1196</v>
      </c>
      <c r="M379" s="15" t="n">
        <v>10</v>
      </c>
    </row>
    <row r="380" customFormat="false" ht="15" hidden="false" customHeight="false" outlineLevel="0" collapsed="false">
      <c r="A380" s="12" t="s">
        <v>38</v>
      </c>
      <c r="B380" s="7" t="s">
        <v>39</v>
      </c>
      <c r="C380" s="12" t="s">
        <v>110</v>
      </c>
      <c r="D380" s="7" t="s">
        <v>31</v>
      </c>
      <c r="E380" s="7" t="s">
        <v>32</v>
      </c>
      <c r="F380" s="12" t="n">
        <f aca="false">IF(D380=E380,1,0)</f>
        <v>0</v>
      </c>
      <c r="G380" s="13" t="n">
        <v>-0.0882002383790226</v>
      </c>
      <c r="H380" s="14" t="n">
        <v>0.298834102439044</v>
      </c>
      <c r="I380" s="14" t="n">
        <v>0.190382216376898</v>
      </c>
      <c r="J380" s="14" t="n">
        <v>0.510783681184057</v>
      </c>
      <c r="K380" s="12" t="s">
        <v>108</v>
      </c>
      <c r="L380" s="15" t="n">
        <v>1196</v>
      </c>
      <c r="M380" s="15" t="n">
        <v>10</v>
      </c>
    </row>
    <row r="381" customFormat="false" ht="15" hidden="false" customHeight="false" outlineLevel="0" collapsed="false">
      <c r="A381" s="12" t="s">
        <v>41</v>
      </c>
      <c r="B381" s="7" t="s">
        <v>42</v>
      </c>
      <c r="C381" s="12" t="s">
        <v>110</v>
      </c>
      <c r="D381" s="7" t="s">
        <v>31</v>
      </c>
      <c r="E381" s="7" t="s">
        <v>40</v>
      </c>
      <c r="F381" s="12" t="n">
        <f aca="false">IF(D381=E381,1,0)</f>
        <v>0</v>
      </c>
      <c r="G381" s="13" t="n">
        <v>0</v>
      </c>
      <c r="H381" s="14" t="n">
        <v>0.242122776997452</v>
      </c>
      <c r="I381" s="14" t="n">
        <v>0.232582079985153</v>
      </c>
      <c r="J381" s="14" t="n">
        <v>0.525295143017394</v>
      </c>
      <c r="K381" s="12" t="s">
        <v>108</v>
      </c>
      <c r="L381" s="15" t="n">
        <v>1196</v>
      </c>
      <c r="M381" s="15" t="n">
        <v>10</v>
      </c>
    </row>
    <row r="382" customFormat="false" ht="15" hidden="false" customHeight="false" outlineLevel="0" collapsed="false">
      <c r="A382" s="12" t="s">
        <v>43</v>
      </c>
      <c r="B382" s="7" t="s">
        <v>44</v>
      </c>
      <c r="C382" s="12" t="s">
        <v>110</v>
      </c>
      <c r="D382" s="7" t="s">
        <v>31</v>
      </c>
      <c r="E382" s="7" t="s">
        <v>31</v>
      </c>
      <c r="F382" s="12" t="n">
        <f aca="false">IF(D382=E382,1,0)</f>
        <v>1</v>
      </c>
      <c r="G382" s="13" t="n">
        <v>0.0331196581196582</v>
      </c>
      <c r="H382" s="14" t="n">
        <v>0.283489120854504</v>
      </c>
      <c r="I382" s="14" t="n">
        <v>0.193870923757135</v>
      </c>
      <c r="J382" s="14" t="n">
        <v>0.522639955388361</v>
      </c>
      <c r="K382" s="12" t="s">
        <v>108</v>
      </c>
      <c r="L382" s="15" t="n">
        <v>1196</v>
      </c>
      <c r="M382" s="15" t="n">
        <v>10</v>
      </c>
    </row>
    <row r="383" customFormat="false" ht="15" hidden="false" customHeight="false" outlineLevel="0" collapsed="false">
      <c r="A383" s="12" t="s">
        <v>28</v>
      </c>
      <c r="B383" s="7" t="s">
        <v>29</v>
      </c>
      <c r="C383" s="12" t="s">
        <v>111</v>
      </c>
      <c r="D383" s="7" t="s">
        <v>31</v>
      </c>
      <c r="E383" s="7" t="s">
        <v>32</v>
      </c>
      <c r="F383" s="12" t="n">
        <f aca="false">IF(D383=E383,1,0)</f>
        <v>0</v>
      </c>
      <c r="G383" s="13" t="n">
        <v>-0.0701754385964912</v>
      </c>
      <c r="H383" s="14" t="n">
        <v>0.274101408352829</v>
      </c>
      <c r="I383" s="14" t="n">
        <v>0.175262038682093</v>
      </c>
      <c r="J383" s="14" t="n">
        <v>0.550636552965077</v>
      </c>
      <c r="K383" s="12" t="s">
        <v>108</v>
      </c>
      <c r="L383" s="15" t="n">
        <v>1196</v>
      </c>
      <c r="M383" s="15" t="n">
        <v>10</v>
      </c>
    </row>
    <row r="384" customFormat="false" ht="15" hidden="false" customHeight="false" outlineLevel="0" collapsed="false">
      <c r="A384" s="12" t="s">
        <v>34</v>
      </c>
      <c r="B384" s="7" t="s">
        <v>35</v>
      </c>
      <c r="C384" s="12" t="s">
        <v>111</v>
      </c>
      <c r="D384" s="7" t="s">
        <v>31</v>
      </c>
      <c r="E384" s="7" t="s">
        <v>32</v>
      </c>
      <c r="F384" s="12" t="n">
        <f aca="false">IF(D384=E384,1,0)</f>
        <v>0</v>
      </c>
      <c r="G384" s="13" t="n">
        <v>-0.0268595041322313</v>
      </c>
      <c r="H384" s="14" t="n">
        <v>0.324879259931045</v>
      </c>
      <c r="I384" s="14" t="n">
        <v>0.203188135801602</v>
      </c>
      <c r="J384" s="14" t="n">
        <v>0.471932604267353</v>
      </c>
      <c r="K384" s="12" t="s">
        <v>108</v>
      </c>
      <c r="L384" s="15" t="n">
        <v>1196</v>
      </c>
      <c r="M384" s="15" t="n">
        <v>10</v>
      </c>
    </row>
    <row r="385" customFormat="false" ht="15" hidden="false" customHeight="false" outlineLevel="0" collapsed="false">
      <c r="A385" s="12" t="s">
        <v>36</v>
      </c>
      <c r="B385" s="7" t="s">
        <v>37</v>
      </c>
      <c r="C385" s="12" t="s">
        <v>111</v>
      </c>
      <c r="D385" s="7" t="s">
        <v>31</v>
      </c>
      <c r="E385" s="7" t="s">
        <v>32</v>
      </c>
      <c r="F385" s="12" t="n">
        <f aca="false">IF(D385=E385,1,0)</f>
        <v>0</v>
      </c>
      <c r="G385" s="13" t="n">
        <v>-0.0162601626016259</v>
      </c>
      <c r="H385" s="14" t="n">
        <v>0.34322930039836</v>
      </c>
      <c r="I385" s="14" t="n">
        <v>0.232752008422834</v>
      </c>
      <c r="J385" s="14" t="n">
        <v>0.424018691178807</v>
      </c>
      <c r="K385" s="12" t="s">
        <v>108</v>
      </c>
      <c r="L385" s="15" t="n">
        <v>1196</v>
      </c>
      <c r="M385" s="15" t="n">
        <v>10</v>
      </c>
    </row>
    <row r="386" customFormat="false" ht="15" hidden="false" customHeight="false" outlineLevel="0" collapsed="false">
      <c r="A386" s="12" t="s">
        <v>38</v>
      </c>
      <c r="B386" s="7" t="s">
        <v>39</v>
      </c>
      <c r="C386" s="12" t="s">
        <v>111</v>
      </c>
      <c r="D386" s="7" t="s">
        <v>31</v>
      </c>
      <c r="E386" s="7" t="s">
        <v>32</v>
      </c>
      <c r="F386" s="12" t="n">
        <f aca="false">IF(D386=E386,1,0)</f>
        <v>0</v>
      </c>
      <c r="G386" s="13" t="n">
        <v>-0.112727272727273</v>
      </c>
      <c r="H386" s="14" t="n">
        <v>0.287937161563814</v>
      </c>
      <c r="I386" s="14" t="n">
        <v>0.196834815134586</v>
      </c>
      <c r="J386" s="14" t="n">
        <v>0.5152280233016</v>
      </c>
      <c r="K386" s="12" t="s">
        <v>108</v>
      </c>
      <c r="L386" s="15" t="n">
        <v>1196</v>
      </c>
      <c r="M386" s="15" t="n">
        <v>10</v>
      </c>
    </row>
    <row r="387" customFormat="false" ht="15" hidden="false" customHeight="false" outlineLevel="0" collapsed="false">
      <c r="A387" s="12" t="s">
        <v>41</v>
      </c>
      <c r="B387" s="7" t="s">
        <v>42</v>
      </c>
      <c r="C387" s="12" t="s">
        <v>111</v>
      </c>
      <c r="D387" s="7" t="s">
        <v>31</v>
      </c>
      <c r="E387" s="7" t="s">
        <v>40</v>
      </c>
      <c r="F387" s="12" t="n">
        <f aca="false">IF(D387=E387,1,0)</f>
        <v>0</v>
      </c>
      <c r="G387" s="13" t="n">
        <v>-0.0051150895140664</v>
      </c>
      <c r="H387" s="14" t="n">
        <v>0.319557747268021</v>
      </c>
      <c r="I387" s="14" t="n">
        <v>0.213049848029366</v>
      </c>
      <c r="J387" s="14" t="n">
        <v>0.467392404702613</v>
      </c>
      <c r="K387" s="12" t="s">
        <v>108</v>
      </c>
      <c r="L387" s="15" t="n">
        <v>1196</v>
      </c>
      <c r="M387" s="15" t="n">
        <v>10</v>
      </c>
    </row>
    <row r="388" customFormat="false" ht="15" hidden="false" customHeight="false" outlineLevel="0" collapsed="false">
      <c r="A388" s="12" t="s">
        <v>43</v>
      </c>
      <c r="B388" s="7" t="s">
        <v>44</v>
      </c>
      <c r="C388" s="12" t="s">
        <v>111</v>
      </c>
      <c r="D388" s="7" t="s">
        <v>31</v>
      </c>
      <c r="E388" s="7" t="s">
        <v>31</v>
      </c>
      <c r="F388" s="12" t="n">
        <f aca="false">IF(D388=E388,1,0)</f>
        <v>1</v>
      </c>
      <c r="G388" s="13" t="n">
        <v>0.0289079229122053</v>
      </c>
      <c r="H388" s="14" t="n">
        <v>0.309831283726233</v>
      </c>
      <c r="I388" s="14" t="n">
        <v>0.194062725843127</v>
      </c>
      <c r="J388" s="14" t="n">
        <v>0.49610599043064</v>
      </c>
      <c r="K388" s="12" t="s">
        <v>108</v>
      </c>
      <c r="L388" s="15" t="n">
        <v>1196</v>
      </c>
      <c r="M388" s="15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5"/>
  </cols>
  <sheetData>
    <row r="1" customFormat="false" ht="20.1" hidden="false" customHeight="false" outlineLevel="0" collapsed="false">
      <c r="A1" s="16" t="s">
        <v>116</v>
      </c>
    </row>
    <row r="2" customFormat="false" ht="17.15" hidden="false" customHeight="false" outlineLevel="0" collapsed="false">
      <c r="A2" s="17" t="s">
        <v>117</v>
      </c>
    </row>
    <row r="3" customFormat="false" ht="17.15" hidden="false" customHeight="false" outlineLevel="0" collapsed="false">
      <c r="A3" s="18" t="s">
        <v>118</v>
      </c>
    </row>
    <row r="5" customFormat="false" ht="17.15" hidden="false" customHeight="false" outlineLevel="0" collapsed="false">
      <c r="A5" s="4" t="s">
        <v>119</v>
      </c>
      <c r="B5" s="5"/>
      <c r="C5" s="5"/>
      <c r="D5" s="5"/>
      <c r="E5" s="5"/>
    </row>
    <row r="6" customFormat="false" ht="17.15" hidden="false" customHeight="false" outlineLevel="0" collapsed="false">
      <c r="A6" s="19" t="s">
        <v>4</v>
      </c>
      <c r="B6" s="19" t="s">
        <v>120</v>
      </c>
      <c r="C6" s="20" t="s">
        <v>121</v>
      </c>
      <c r="D6" s="20" t="s">
        <v>122</v>
      </c>
      <c r="E6" s="20" t="s">
        <v>123</v>
      </c>
    </row>
    <row r="7" customFormat="false" ht="17.15" hidden="false" customHeight="false" outlineLevel="0" collapsed="false">
      <c r="A7" s="7" t="s">
        <v>124</v>
      </c>
      <c r="B7" s="8" t="n">
        <f aca="false">AVERAGE(明細平衡版1日!$F$2:$F$412)</f>
        <v>0.369829683698297</v>
      </c>
      <c r="C7" s="21" t="n">
        <v>0.369829683698297</v>
      </c>
      <c r="D7" s="21" t="n">
        <v>0.324563159938175</v>
      </c>
      <c r="E7" s="21" t="n">
        <v>0.417507066384354</v>
      </c>
    </row>
    <row r="8" customFormat="false" ht="17.15" hidden="false" customHeight="false" outlineLevel="0" collapsed="false">
      <c r="A8" s="7" t="s">
        <v>125</v>
      </c>
      <c r="B8" s="8" t="n">
        <f aca="false">(IFERROR(COUNTIFS(明細平衡版1日!$E$2:$E$412,"下跌",明細平衡版1日!$D$2:$D$412,"下跌")/COUNTIF(明細平衡版1日!$E$2:$E$412,"下跌"),0)+IFERROR(COUNTIFS(明細平衡版1日!$E$2:$E$412,"持平",明細平衡版1日!$D$2:$D$412,"持平")/COUNTIF(明細平衡版1日!$E$2:$E$412,"持平"),0)+IFERROR(COUNTIFS(明細平衡版1日!$E$2:$E$412,"上漲",明細平衡版1日!$D$2:$D$412,"上漲")/COUNTIF(明細平衡版1日!$E$2:$E$412,"上漲"),0))/3</f>
        <v>0.355254154447703</v>
      </c>
      <c r="C8" s="21" t="n">
        <v>0.355254154447703</v>
      </c>
    </row>
    <row r="9" customFormat="false" ht="17.15" hidden="false" customHeight="false" outlineLevel="0" collapsed="false">
      <c r="A9" s="7" t="s">
        <v>10</v>
      </c>
      <c r="B9" s="8" t="n">
        <f aca="false">COUNTIF(明細平衡版1日!$E$2:$E$412,"上漲")/COUNTA(明細平衡版1日!$E$2:$E$412)</f>
        <v>0.428223844282238</v>
      </c>
      <c r="C9" s="21" t="n">
        <v>0.428223844282238</v>
      </c>
    </row>
    <row r="10" customFormat="false" ht="17.15" hidden="false" customHeight="false" outlineLevel="0" collapsed="false">
      <c r="A10" s="7" t="s">
        <v>126</v>
      </c>
      <c r="B10" s="8" t="n">
        <f aca="false">COUNTIF(明細平衡版1日!$E$2:$E$412,"持平")/COUNTA(明細平衡版1日!$E$2:$E$412)</f>
        <v>0.194647201946472</v>
      </c>
      <c r="C10" s="21" t="n">
        <v>0.194647201946472</v>
      </c>
    </row>
    <row r="11" customFormat="false" ht="17.15" hidden="false" customHeight="false" outlineLevel="0" collapsed="false">
      <c r="A11" s="7" t="s">
        <v>127</v>
      </c>
      <c r="B11" s="21" t="n">
        <v>0.390123456790123</v>
      </c>
      <c r="C11" s="12" t="s">
        <v>128</v>
      </c>
    </row>
    <row r="12" customFormat="false" ht="17.15" hidden="false" customHeight="false" outlineLevel="0" collapsed="false">
      <c r="A12" s="7" t="s">
        <v>129</v>
      </c>
      <c r="B12" s="12" t="n">
        <f aca="false">COUNTIF(明細平衡版1日!$D$2:$D$412,"上漲")+COUNTIF(明細平衡版1日!$D$2:$D$412,"下跌")</f>
        <v>337</v>
      </c>
      <c r="C12" s="15" t="n">
        <v>337</v>
      </c>
    </row>
    <row r="13" customFormat="false" ht="17.15" hidden="false" customHeight="false" outlineLevel="0" collapsed="false">
      <c r="A13" s="7" t="s">
        <v>130</v>
      </c>
      <c r="B13" s="8" t="n">
        <f aca="false">IFERROR((COUNTIFS(明細平衡版1日!$D$2:$D$412,"上漲",明細平衡版1日!$G$2:$G$412,"&gt;0")+COUNTIFS(明細平衡版1日!$D$2:$D$412,"下跌",明細平衡版1日!$G$2:$G$412,"&lt;0"))/(COUNTIF(明細平衡版1日!$D$2:$D$412,"上漲")+COUNTIF(明細平衡版1日!$D$2:$D$412,"下跌")),"—")</f>
        <v>0.456973293768546</v>
      </c>
      <c r="C13" s="21" t="n">
        <v>0.456973293768546</v>
      </c>
      <c r="D13" s="21" t="n">
        <v>0.404570622994006</v>
      </c>
      <c r="E13" s="21" t="n">
        <v>0.510345866073056</v>
      </c>
    </row>
    <row r="14" customFormat="false" ht="17.15" hidden="false" customHeight="false" outlineLevel="0" collapsed="false">
      <c r="A14" s="7" t="s">
        <v>131</v>
      </c>
      <c r="B14" s="8" t="n">
        <f aca="false">IFERROR(COUNTIFS(明細平衡版1日!$E$2:$E$412,"下跌",明細平衡版1日!$D$2:$D$412,"下跌")/COUNTIF(明細平衡版1日!$D$2:$D$412,"下跌"),"無此類預測")</f>
        <v>0.347222222222222</v>
      </c>
      <c r="C14" s="12" t="s">
        <v>132</v>
      </c>
    </row>
    <row r="15" customFormat="false" ht="17.15" hidden="false" customHeight="false" outlineLevel="0" collapsed="false">
      <c r="A15" s="7" t="s">
        <v>133</v>
      </c>
      <c r="B15" s="8" t="n">
        <f aca="false">IFERROR(COUNTIFS(明細平衡版1日!$E$2:$E$412,"持平",明細平衡版1日!$D$2:$D$412,"持平")/COUNTIF(明細平衡版1日!$D$2:$D$412,"持平"),"無此類預測")</f>
        <v>0.324324324324324</v>
      </c>
      <c r="C15" s="12" t="s">
        <v>134</v>
      </c>
    </row>
    <row r="16" customFormat="false" ht="17.15" hidden="false" customHeight="false" outlineLevel="0" collapsed="false">
      <c r="A16" s="7" t="s">
        <v>135</v>
      </c>
      <c r="B16" s="8" t="n">
        <f aca="false">IFERROR(COUNTIFS(明細平衡版1日!$E$2:$E$412,"上漲",明細平衡版1日!$D$2:$D$412,"上漲")/COUNTIF(明細平衡版1日!$D$2:$D$412,"上漲"),"無此類預測")</f>
        <v>0.404145077720207</v>
      </c>
      <c r="C16" s="12" t="s">
        <v>136</v>
      </c>
    </row>
    <row r="18" customFormat="false" ht="17.15" hidden="false" customHeight="false" outlineLevel="0" collapsed="false">
      <c r="A18" s="4" t="s">
        <v>137</v>
      </c>
      <c r="B18" s="5"/>
      <c r="C18" s="5"/>
      <c r="D18" s="5"/>
      <c r="E18" s="5"/>
    </row>
    <row r="19" customFormat="false" ht="17.15" hidden="false" customHeight="false" outlineLevel="0" collapsed="false">
      <c r="A19" s="19" t="s">
        <v>4</v>
      </c>
      <c r="B19" s="19" t="s">
        <v>120</v>
      </c>
      <c r="C19" s="20" t="s">
        <v>121</v>
      </c>
      <c r="D19" s="20" t="s">
        <v>122</v>
      </c>
      <c r="E19" s="20" t="s">
        <v>123</v>
      </c>
    </row>
    <row r="20" customFormat="false" ht="17.15" hidden="false" customHeight="false" outlineLevel="0" collapsed="false">
      <c r="A20" s="7" t="s">
        <v>124</v>
      </c>
      <c r="B20" s="8" t="n">
        <f aca="false">AVERAGE(明細平衡版5日!$F$2:$F$388)</f>
        <v>0.356589147286822</v>
      </c>
      <c r="C20" s="21" t="n">
        <v>0.356589147286822</v>
      </c>
      <c r="D20" s="21" t="n">
        <v>0.310489817451679</v>
      </c>
      <c r="E20" s="21" t="n">
        <v>0.405507660810614</v>
      </c>
    </row>
    <row r="21" customFormat="false" ht="17.15" hidden="false" customHeight="false" outlineLevel="0" collapsed="false">
      <c r="A21" s="7" t="s">
        <v>125</v>
      </c>
      <c r="B21" s="8" t="n">
        <f aca="false">(IFERROR(COUNTIFS(明細平衡版5日!$E$2:$E$388,"下跌",明細平衡版5日!$D$2:$D$388,"下跌")/COUNTIF(明細平衡版5日!$E$2:$E$388,"下跌"),0)+IFERROR(COUNTIFS(明細平衡版5日!$E$2:$E$388,"持平",明細平衡版5日!$D$2:$D$388,"持平")/COUNTIF(明細平衡版5日!$E$2:$E$388,"持平"),0)+IFERROR(COUNTIFS(明細平衡版5日!$E$2:$E$388,"上漲",明細平衡版5日!$D$2:$D$388,"上漲")/COUNTIF(明細平衡版5日!$E$2:$E$388,"上漲"),0))/3</f>
        <v>0.309254207545665</v>
      </c>
      <c r="C21" s="21" t="n">
        <v>0.309254207545665</v>
      </c>
    </row>
    <row r="22" customFormat="false" ht="17.15" hidden="false" customHeight="false" outlineLevel="0" collapsed="false">
      <c r="A22" s="7" t="s">
        <v>10</v>
      </c>
      <c r="B22" s="8" t="n">
        <f aca="false">COUNTIF(明細平衡版5日!$E$2:$E$388,"上漲")/COUNTA(明細平衡版5日!$E$2:$E$388)</f>
        <v>0.51421188630491</v>
      </c>
      <c r="C22" s="21" t="n">
        <v>0.51421188630491</v>
      </c>
    </row>
    <row r="23" customFormat="false" ht="17.15" hidden="false" customHeight="false" outlineLevel="0" collapsed="false">
      <c r="A23" s="7" t="s">
        <v>126</v>
      </c>
      <c r="B23" s="8" t="n">
        <f aca="false">COUNTIF(明細平衡版5日!$E$2:$E$388,"持平")/COUNTA(明細平衡版5日!$E$2:$E$388)</f>
        <v>0.162790697674419</v>
      </c>
      <c r="C23" s="21" t="n">
        <v>0.162790697674419</v>
      </c>
    </row>
    <row r="24" customFormat="false" ht="17.15" hidden="false" customHeight="false" outlineLevel="0" collapsed="false">
      <c r="A24" s="7" t="s">
        <v>138</v>
      </c>
      <c r="B24" s="21" t="n">
        <v>0.721784776902887</v>
      </c>
      <c r="C24" s="12" t="s">
        <v>128</v>
      </c>
    </row>
    <row r="25" customFormat="false" ht="17.15" hidden="false" customHeight="false" outlineLevel="0" collapsed="false">
      <c r="A25" s="7" t="s">
        <v>129</v>
      </c>
      <c r="B25" s="12" t="n">
        <f aca="false">COUNTIF(明細平衡版5日!$D$2:$D$388,"上漲")+COUNTIF(明細平衡版5日!$D$2:$D$388,"下跌")</f>
        <v>340</v>
      </c>
      <c r="C25" s="15" t="n">
        <v>340</v>
      </c>
    </row>
    <row r="26" customFormat="false" ht="17.15" hidden="false" customHeight="false" outlineLevel="0" collapsed="false">
      <c r="A26" s="7" t="s">
        <v>130</v>
      </c>
      <c r="B26" s="8" t="n">
        <f aca="false">IFERROR((COUNTIFS(明細平衡版5日!$D$2:$D$388,"上漲",明細平衡版5日!$G$2:$G$388,"&gt;0")+COUNTIFS(明細平衡版5日!$D$2:$D$388,"下跌",明細平衡版5日!$G$2:$G$388,"&lt;0"))/(COUNTIF(明細平衡版5日!$D$2:$D$388,"上漲")+COUNTIF(明細平衡版5日!$D$2:$D$388,"下跌")),"—")</f>
        <v>0.447058823529412</v>
      </c>
      <c r="C26" s="21" t="n">
        <v>0.447058823529412</v>
      </c>
      <c r="D26" s="21" t="n">
        <v>0.395093845650314</v>
      </c>
      <c r="E26" s="21" t="n">
        <v>0.500206781149934</v>
      </c>
    </row>
    <row r="27" customFormat="false" ht="17.15" hidden="false" customHeight="false" outlineLevel="0" collapsed="false">
      <c r="A27" s="7" t="s">
        <v>139</v>
      </c>
      <c r="B27" s="8" t="n">
        <f aca="false">IFERROR(COUNTIFS(明細平衡版5日!$E$2:$E$388,"下跌",明細平衡版5日!$D$2:$D$388,"下跌")/COUNTIF(明細平衡版5日!$D$2:$D$388,"下跌"),"無此類預測")</f>
        <v>0.233333333333333</v>
      </c>
      <c r="C27" s="12" t="s">
        <v>140</v>
      </c>
    </row>
    <row r="28" customFormat="false" ht="17.15" hidden="false" customHeight="false" outlineLevel="0" collapsed="false">
      <c r="A28" s="7" t="s">
        <v>141</v>
      </c>
      <c r="B28" s="8" t="n">
        <f aca="false">IFERROR(COUNTIFS(明細平衡版5日!$E$2:$E$388,"持平",明細平衡版5日!$D$2:$D$388,"持平")/COUNTIF(明細平衡版5日!$D$2:$D$388,"持平"),"無此類預測")</f>
        <v>0.25531914893617</v>
      </c>
      <c r="C28" s="12" t="s">
        <v>142</v>
      </c>
    </row>
    <row r="29" customFormat="false" ht="17.15" hidden="false" customHeight="false" outlineLevel="0" collapsed="false">
      <c r="A29" s="7" t="s">
        <v>143</v>
      </c>
      <c r="B29" s="8" t="n">
        <f aca="false">IFERROR(COUNTIFS(明細平衡版5日!$E$2:$E$388,"上漲",明細平衡版5日!$D$2:$D$388,"上漲")/COUNTIF(明細平衡版5日!$D$2:$D$388,"上漲"),"無此類預測")</f>
        <v>0.478947368421053</v>
      </c>
      <c r="C29" s="12" t="s">
        <v>144</v>
      </c>
    </row>
    <row r="31" customFormat="false" ht="17.15" hidden="false" customHeight="false" outlineLevel="0" collapsed="false">
      <c r="A31" s="4" t="s">
        <v>145</v>
      </c>
      <c r="B31" s="5"/>
      <c r="C31" s="5"/>
      <c r="D31" s="5"/>
      <c r="E31" s="5"/>
    </row>
    <row r="32" customFormat="false" ht="17.15" hidden="false" customHeight="false" outlineLevel="0" collapsed="false">
      <c r="A32" s="19" t="s">
        <v>4</v>
      </c>
      <c r="B32" s="19" t="s">
        <v>120</v>
      </c>
      <c r="C32" s="20" t="s">
        <v>121</v>
      </c>
      <c r="D32" s="20" t="s">
        <v>122</v>
      </c>
      <c r="E32" s="20" t="s">
        <v>123</v>
      </c>
    </row>
    <row r="33" customFormat="false" ht="17.15" hidden="false" customHeight="false" outlineLevel="0" collapsed="false">
      <c r="A33" s="7" t="s">
        <v>124</v>
      </c>
      <c r="B33" s="8" t="n">
        <f aca="false">AVERAGE(明細基準版1日!$F$2:$F$412)</f>
        <v>0.413625304136253</v>
      </c>
      <c r="C33" s="21" t="n">
        <v>0.413625304136253</v>
      </c>
      <c r="D33" s="21" t="n">
        <v>0.367026305178236</v>
      </c>
      <c r="E33" s="21" t="n">
        <v>0.461824031914283</v>
      </c>
    </row>
    <row r="34" customFormat="false" ht="17.15" hidden="false" customHeight="false" outlineLevel="0" collapsed="false">
      <c r="A34" s="7" t="s">
        <v>125</v>
      </c>
      <c r="B34" s="8" t="n">
        <f aca="false">(IFERROR(COUNTIFS(明細基準版1日!$E$2:$E$412,"下跌",明細基準版1日!$D$2:$D$412,"下跌")/COUNTIF(明細基準版1日!$E$2:$E$412,"下跌"),0)+IFERROR(COUNTIFS(明細基準版1日!$E$2:$E$412,"持平",明細基準版1日!$D$2:$D$412,"持平")/COUNTIF(明細基準版1日!$E$2:$E$412,"持平"),0)+IFERROR(COUNTIFS(明細基準版1日!$E$2:$E$412,"上漲",明細基準版1日!$D$2:$D$412,"上漲")/COUNTIF(明細基準版1日!$E$2:$E$412,"上漲"),0))/3</f>
        <v>0.325305474095797</v>
      </c>
      <c r="C34" s="21" t="n">
        <v>0.325305474095797</v>
      </c>
    </row>
    <row r="35" customFormat="false" ht="17.15" hidden="false" customHeight="false" outlineLevel="0" collapsed="false">
      <c r="A35" s="7" t="s">
        <v>10</v>
      </c>
      <c r="B35" s="8" t="n">
        <f aca="false">COUNTIF(明細基準版1日!$E$2:$E$412,"上漲")/COUNTA(明細基準版1日!$E$2:$E$412)</f>
        <v>0.428223844282238</v>
      </c>
      <c r="C35" s="21" t="n">
        <v>0.428223844282238</v>
      </c>
    </row>
    <row r="36" customFormat="false" ht="17.15" hidden="false" customHeight="false" outlineLevel="0" collapsed="false">
      <c r="A36" s="7" t="s">
        <v>126</v>
      </c>
      <c r="B36" s="8" t="n">
        <f aca="false">COUNTIF(明細基準版1日!$E$2:$E$412,"持平")/COUNTA(明細基準版1日!$E$2:$E$412)</f>
        <v>0.194647201946472</v>
      </c>
      <c r="C36" s="21" t="n">
        <v>0.194647201946472</v>
      </c>
    </row>
    <row r="37" customFormat="false" ht="17.15" hidden="false" customHeight="false" outlineLevel="0" collapsed="false">
      <c r="A37" s="7" t="s">
        <v>127</v>
      </c>
      <c r="B37" s="21" t="n">
        <v>0.390123456790123</v>
      </c>
      <c r="C37" s="12" t="s">
        <v>128</v>
      </c>
    </row>
    <row r="38" customFormat="false" ht="17.15" hidden="false" customHeight="false" outlineLevel="0" collapsed="false">
      <c r="A38" s="7" t="s">
        <v>129</v>
      </c>
      <c r="B38" s="12" t="n">
        <f aca="false">COUNTIF(明細基準版1日!$D$2:$D$412,"上漲")+COUNTIF(明細基準版1日!$D$2:$D$412,"下跌")</f>
        <v>411</v>
      </c>
      <c r="C38" s="15" t="n">
        <v>411</v>
      </c>
    </row>
    <row r="39" customFormat="false" ht="17.15" hidden="false" customHeight="false" outlineLevel="0" collapsed="false">
      <c r="A39" s="7" t="s">
        <v>130</v>
      </c>
      <c r="B39" s="8" t="n">
        <f aca="false">IFERROR((COUNTIFS(明細基準版1日!$D$2:$D$412,"上漲",明細基準版1日!$G$2:$G$412,"&gt;0")+COUNTIFS(明細基準版1日!$D$2:$D$412,"下跌",明細基準版1日!$G$2:$G$412,"&lt;0"))/(COUNTIF(明細基準版1日!$D$2:$D$412,"上漲")+COUNTIF(明細基準版1日!$D$2:$D$412,"下跌")),"—")</f>
        <v>0.491484184914842</v>
      </c>
      <c r="C39" s="21" t="n">
        <v>0.491484184914842</v>
      </c>
      <c r="D39" s="21" t="n">
        <v>0.44345446786436</v>
      </c>
      <c r="E39" s="21" t="n">
        <v>0.539671621708142</v>
      </c>
    </row>
    <row r="40" customFormat="false" ht="17.15" hidden="false" customHeight="false" outlineLevel="0" collapsed="false">
      <c r="A40" s="7" t="s">
        <v>131</v>
      </c>
      <c r="B40" s="8" t="n">
        <f aca="false">IFERROR(COUNTIFS(明細基準版1日!$E$2:$E$412,"下跌",明細基準版1日!$D$2:$D$412,"下跌")/COUNTIF(明細基準版1日!$D$2:$D$412,"下跌"),"無此類預測")</f>
        <v>0.325</v>
      </c>
      <c r="C40" s="12" t="s">
        <v>146</v>
      </c>
    </row>
    <row r="41" customFormat="false" ht="17.15" hidden="false" customHeight="false" outlineLevel="0" collapsed="false">
      <c r="A41" s="7" t="s">
        <v>133</v>
      </c>
      <c r="B41" s="8" t="str">
        <f aca="false">IFERROR(COUNTIFS(明細基準版1日!$E$2:$E$412,"持平",明細基準版1日!$D$2:$D$412,"持平")/COUNTIF(明細基準版1日!$D$2:$D$412,"持平"),"無此類預測")</f>
        <v>無此類預測</v>
      </c>
      <c r="C41" s="12" t="s">
        <v>147</v>
      </c>
    </row>
    <row r="42" customFormat="false" ht="17.15" hidden="false" customHeight="false" outlineLevel="0" collapsed="false">
      <c r="A42" s="7" t="s">
        <v>135</v>
      </c>
      <c r="B42" s="8" t="n">
        <f aca="false">IFERROR(COUNTIFS(明細基準版1日!$E$2:$E$412,"上漲",明細基準版1日!$D$2:$D$412,"上漲")/COUNTIF(明細基準版1日!$D$2:$D$412,"上漲"),"無此類預測")</f>
        <v>0.423180592991914</v>
      </c>
      <c r="C42" s="12" t="s">
        <v>148</v>
      </c>
    </row>
    <row r="44" customFormat="false" ht="17.15" hidden="false" customHeight="false" outlineLevel="0" collapsed="false">
      <c r="A44" s="4" t="s">
        <v>149</v>
      </c>
      <c r="B44" s="5"/>
      <c r="C44" s="5"/>
      <c r="D44" s="5"/>
      <c r="E44" s="5"/>
    </row>
    <row r="45" customFormat="false" ht="17.15" hidden="false" customHeight="false" outlineLevel="0" collapsed="false">
      <c r="A45" s="19" t="s">
        <v>4</v>
      </c>
      <c r="B45" s="19" t="s">
        <v>120</v>
      </c>
      <c r="C45" s="20" t="s">
        <v>121</v>
      </c>
      <c r="D45" s="20" t="s">
        <v>122</v>
      </c>
      <c r="E45" s="20" t="s">
        <v>123</v>
      </c>
    </row>
    <row r="46" customFormat="false" ht="17.15" hidden="false" customHeight="false" outlineLevel="0" collapsed="false">
      <c r="A46" s="7" t="s">
        <v>124</v>
      </c>
      <c r="B46" s="8" t="n">
        <f aca="false">AVERAGE(明細基準版5日!$F$2:$F$388)</f>
        <v>0.51421188630491</v>
      </c>
      <c r="C46" s="21" t="n">
        <v>0.51421188630491</v>
      </c>
      <c r="D46" s="21" t="n">
        <v>0.46452125633314</v>
      </c>
      <c r="E46" s="21" t="n">
        <v>0.563623137712939</v>
      </c>
    </row>
    <row r="47" customFormat="false" ht="17.15" hidden="false" customHeight="false" outlineLevel="0" collapsed="false">
      <c r="A47" s="7" t="s">
        <v>125</v>
      </c>
      <c r="B47" s="8" t="n">
        <f aca="false">(IFERROR(COUNTIFS(明細基準版5日!$E$2:$E$388,"下跌",明細基準版5日!$D$2:$D$388,"下跌")/COUNTIF(明細基準版5日!$E$2:$E$388,"下跌"),0)+IFERROR(COUNTIFS(明細基準版5日!$E$2:$E$388,"持平",明細基準版5日!$D$2:$D$388,"持平")/COUNTIF(明細基準版5日!$E$2:$E$388,"持平"),0)+IFERROR(COUNTIFS(明細基準版5日!$E$2:$E$388,"上漲",明細基準版5日!$D$2:$D$388,"上漲")/COUNTIF(明細基準版5日!$E$2:$E$388,"上漲"),0))/3</f>
        <v>0.333333333333333</v>
      </c>
      <c r="C47" s="21" t="n">
        <v>0.333333333333333</v>
      </c>
    </row>
    <row r="48" customFormat="false" ht="17.15" hidden="false" customHeight="false" outlineLevel="0" collapsed="false">
      <c r="A48" s="7" t="s">
        <v>10</v>
      </c>
      <c r="B48" s="8" t="n">
        <f aca="false">COUNTIF(明細基準版5日!$E$2:$E$388,"上漲")/COUNTA(明細基準版5日!$E$2:$E$388)</f>
        <v>0.51421188630491</v>
      </c>
      <c r="C48" s="21" t="n">
        <v>0.51421188630491</v>
      </c>
    </row>
    <row r="49" customFormat="false" ht="17.15" hidden="false" customHeight="false" outlineLevel="0" collapsed="false">
      <c r="A49" s="7" t="s">
        <v>126</v>
      </c>
      <c r="B49" s="8" t="n">
        <f aca="false">COUNTIF(明細基準版5日!$E$2:$E$388,"持平")/COUNTA(明細基準版5日!$E$2:$E$388)</f>
        <v>0.162790697674419</v>
      </c>
      <c r="C49" s="21" t="n">
        <v>0.162790697674419</v>
      </c>
    </row>
    <row r="50" customFormat="false" ht="17.15" hidden="false" customHeight="false" outlineLevel="0" collapsed="false">
      <c r="A50" s="7" t="s">
        <v>138</v>
      </c>
      <c r="B50" s="21" t="n">
        <v>0.721784776902887</v>
      </c>
      <c r="C50" s="12" t="s">
        <v>128</v>
      </c>
    </row>
    <row r="51" customFormat="false" ht="17.15" hidden="false" customHeight="false" outlineLevel="0" collapsed="false">
      <c r="A51" s="7" t="s">
        <v>129</v>
      </c>
      <c r="B51" s="12" t="n">
        <f aca="false">COUNTIF(明細基準版5日!$D$2:$D$388,"上漲")+COUNTIF(明細基準版5日!$D$2:$D$388,"下跌")</f>
        <v>387</v>
      </c>
      <c r="C51" s="15" t="n">
        <v>387</v>
      </c>
    </row>
    <row r="52" customFormat="false" ht="17.15" hidden="false" customHeight="false" outlineLevel="0" collapsed="false">
      <c r="A52" s="7" t="s">
        <v>130</v>
      </c>
      <c r="B52" s="8" t="n">
        <f aca="false">IFERROR((COUNTIFS(明細基準版5日!$D$2:$D$388,"上漲",明細基準版5日!$G$2:$G$388,"&gt;0")+COUNTIFS(明細基準版5日!$D$2:$D$388,"下跌",明細基準版5日!$G$2:$G$388,"&lt;0"))/(COUNTIF(明細基準版5日!$D$2:$D$388,"上漲")+COUNTIF(明細基準版5日!$D$2:$D$388,"下跌")),"—")</f>
        <v>0.581395348837209</v>
      </c>
      <c r="C52" s="21" t="n">
        <v>0.581395348837209</v>
      </c>
      <c r="D52" s="21" t="n">
        <v>0.531679238242001</v>
      </c>
      <c r="E52" s="21" t="n">
        <v>0.629511382203725</v>
      </c>
    </row>
    <row r="53" customFormat="false" ht="17.15" hidden="false" customHeight="false" outlineLevel="0" collapsed="false">
      <c r="A53" s="7" t="s">
        <v>139</v>
      </c>
      <c r="B53" s="8" t="str">
        <f aca="false">IFERROR(COUNTIFS(明細基準版5日!$E$2:$E$388,"下跌",明細基準版5日!$D$2:$D$388,"下跌")/COUNTIF(明細基準版5日!$D$2:$D$388,"下跌"),"無此類預測")</f>
        <v>無此類預測</v>
      </c>
      <c r="C53" s="12" t="s">
        <v>147</v>
      </c>
    </row>
    <row r="54" customFormat="false" ht="17.15" hidden="false" customHeight="false" outlineLevel="0" collapsed="false">
      <c r="A54" s="7" t="s">
        <v>141</v>
      </c>
      <c r="B54" s="8" t="str">
        <f aca="false">IFERROR(COUNTIFS(明細基準版5日!$E$2:$E$388,"持平",明細基準版5日!$D$2:$D$388,"持平")/COUNTIF(明細基準版5日!$D$2:$D$388,"持平"),"無此類預測")</f>
        <v>無此類預測</v>
      </c>
      <c r="C54" s="12" t="s">
        <v>147</v>
      </c>
    </row>
    <row r="55" customFormat="false" ht="17.15" hidden="false" customHeight="false" outlineLevel="0" collapsed="false">
      <c r="A55" s="7" t="s">
        <v>143</v>
      </c>
      <c r="B55" s="8" t="n">
        <f aca="false">IFERROR(COUNTIFS(明細基準版5日!$E$2:$E$388,"上漲",明細基準版5日!$D$2:$D$388,"上漲")/COUNTIF(明細基準版5日!$D$2:$D$388,"上漲"),"無此類預測")</f>
        <v>0.51421188630491</v>
      </c>
      <c r="C55" s="12" t="s">
        <v>150</v>
      </c>
    </row>
    <row r="57" customFormat="false" ht="17.15" hidden="false" customHeight="false" outlineLevel="0" collapsed="false">
      <c r="A57" s="18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3"/>
  </cols>
  <sheetData>
    <row r="1" customFormat="false" ht="20.1" hidden="false" customHeight="false" outlineLevel="0" collapsed="false">
      <c r="A1" s="16" t="s">
        <v>152</v>
      </c>
    </row>
    <row r="3" customFormat="false" ht="17.15" hidden="false" customHeight="false" outlineLevel="0" collapsed="false">
      <c r="A3" s="4" t="s">
        <v>153</v>
      </c>
      <c r="B3" s="5"/>
      <c r="C3" s="5"/>
      <c r="D3" s="5"/>
      <c r="E3" s="5"/>
    </row>
    <row r="4" customFormat="false" ht="17.15" hidden="false" customHeight="false" outlineLevel="0" collapsed="false">
      <c r="A4" s="19" t="s">
        <v>154</v>
      </c>
      <c r="B4" s="19" t="s">
        <v>155</v>
      </c>
      <c r="C4" s="19" t="s">
        <v>156</v>
      </c>
      <c r="D4" s="19" t="s">
        <v>157</v>
      </c>
      <c r="E4" s="19" t="s">
        <v>158</v>
      </c>
    </row>
    <row r="5" customFormat="false" ht="15" hidden="false" customHeight="false" outlineLevel="0" collapsed="false">
      <c r="A5" s="9" t="s">
        <v>159</v>
      </c>
      <c r="B5" s="12" t="n">
        <f aca="false">COUNTIFS(明細平衡版1日!$E$2:$E$412,"下跌",明細平衡版1日!$D$2:$D$412,"下跌")</f>
        <v>50</v>
      </c>
      <c r="C5" s="12" t="n">
        <f aca="false">COUNTIFS(明細平衡版1日!$E$2:$E$412,"下跌",明細平衡版1日!$D$2:$D$412,"持平")</f>
        <v>26</v>
      </c>
      <c r="D5" s="12" t="n">
        <f aca="false">COUNTIFS(明細平衡版1日!$E$2:$E$412,"下跌",明細平衡版1日!$D$2:$D$412,"上漲")</f>
        <v>79</v>
      </c>
      <c r="E5" s="9" t="n">
        <f aca="false">SUM(B5:D5)</f>
        <v>155</v>
      </c>
    </row>
    <row r="6" customFormat="false" ht="15" hidden="false" customHeight="false" outlineLevel="0" collapsed="false">
      <c r="A6" s="9" t="s">
        <v>160</v>
      </c>
      <c r="B6" s="12" t="n">
        <f aca="false">COUNTIFS(明細平衡版1日!$E$2:$E$412,"持平",明細平衡版1日!$D$2:$D$412,"下跌")</f>
        <v>20</v>
      </c>
      <c r="C6" s="12" t="n">
        <f aca="false">COUNTIFS(明細平衡版1日!$E$2:$E$412,"持平",明細平衡版1日!$D$2:$D$412,"持平")</f>
        <v>24</v>
      </c>
      <c r="D6" s="12" t="n">
        <f aca="false">COUNTIFS(明細平衡版1日!$E$2:$E$412,"持平",明細平衡版1日!$D$2:$D$412,"上漲")</f>
        <v>36</v>
      </c>
      <c r="E6" s="9" t="n">
        <f aca="false">SUM(B6:D6)</f>
        <v>80</v>
      </c>
    </row>
    <row r="7" customFormat="false" ht="15" hidden="false" customHeight="false" outlineLevel="0" collapsed="false">
      <c r="A7" s="9" t="s">
        <v>161</v>
      </c>
      <c r="B7" s="12" t="n">
        <f aca="false">COUNTIFS(明細平衡版1日!$E$2:$E$412,"上漲",明細平衡版1日!$D$2:$D$412,"下跌")</f>
        <v>74</v>
      </c>
      <c r="C7" s="12" t="n">
        <f aca="false">COUNTIFS(明細平衡版1日!$E$2:$E$412,"上漲",明細平衡版1日!$D$2:$D$412,"持平")</f>
        <v>24</v>
      </c>
      <c r="D7" s="12" t="n">
        <f aca="false">COUNTIFS(明細平衡版1日!$E$2:$E$412,"上漲",明細平衡版1日!$D$2:$D$412,"上漲")</f>
        <v>78</v>
      </c>
      <c r="E7" s="9" t="n">
        <f aca="false">SUM(B7:D7)</f>
        <v>176</v>
      </c>
    </row>
    <row r="8" customFormat="false" ht="15" hidden="false" customHeight="false" outlineLevel="0" collapsed="false">
      <c r="A8" s="9" t="s">
        <v>162</v>
      </c>
      <c r="B8" s="9" t="n">
        <f aca="false">SUM(B5:B7)</f>
        <v>144</v>
      </c>
      <c r="C8" s="9" t="n">
        <f aca="false">SUM(C5:C7)</f>
        <v>74</v>
      </c>
      <c r="D8" s="9" t="n">
        <f aca="false">SUM(D5:D7)</f>
        <v>193</v>
      </c>
      <c r="E8" s="9" t="n">
        <f aca="false">SUM(B8:D8)</f>
        <v>411</v>
      </c>
    </row>
    <row r="10" customFormat="false" ht="17.15" hidden="false" customHeight="false" outlineLevel="0" collapsed="false">
      <c r="A10" s="4" t="s">
        <v>163</v>
      </c>
      <c r="B10" s="5"/>
      <c r="C10" s="5"/>
      <c r="D10" s="5"/>
      <c r="E10" s="5"/>
    </row>
    <row r="11" customFormat="false" ht="17.15" hidden="false" customHeight="false" outlineLevel="0" collapsed="false">
      <c r="A11" s="19" t="s">
        <v>154</v>
      </c>
      <c r="B11" s="19" t="s">
        <v>155</v>
      </c>
      <c r="C11" s="19" t="s">
        <v>156</v>
      </c>
      <c r="D11" s="19" t="s">
        <v>157</v>
      </c>
      <c r="E11" s="19" t="s">
        <v>158</v>
      </c>
    </row>
    <row r="12" customFormat="false" ht="15" hidden="false" customHeight="false" outlineLevel="0" collapsed="false">
      <c r="A12" s="9" t="s">
        <v>159</v>
      </c>
      <c r="B12" s="12" t="n">
        <f aca="false">COUNTIFS(明細平衡版5日!$E$2:$E$388,"下跌",明細平衡版5日!$D$2:$D$388,"下跌")</f>
        <v>35</v>
      </c>
      <c r="C12" s="12" t="n">
        <f aca="false">COUNTIFS(明細平衡版5日!$E$2:$E$388,"下跌",明細平衡版5日!$D$2:$D$388,"持平")</f>
        <v>16</v>
      </c>
      <c r="D12" s="12" t="n">
        <f aca="false">COUNTIFS(明細平衡版5日!$E$2:$E$388,"下跌",明細平衡版5日!$D$2:$D$388,"上漲")</f>
        <v>74</v>
      </c>
      <c r="E12" s="9" t="n">
        <f aca="false">SUM(B12:D12)</f>
        <v>125</v>
      </c>
    </row>
    <row r="13" customFormat="false" ht="15" hidden="false" customHeight="false" outlineLevel="0" collapsed="false">
      <c r="A13" s="9" t="s">
        <v>160</v>
      </c>
      <c r="B13" s="12" t="n">
        <f aca="false">COUNTIFS(明細平衡版5日!$E$2:$E$388,"持平",明細平衡版5日!$D$2:$D$388,"下跌")</f>
        <v>26</v>
      </c>
      <c r="C13" s="12" t="n">
        <f aca="false">COUNTIFS(明細平衡版5日!$E$2:$E$388,"持平",明細平衡版5日!$D$2:$D$388,"持平")</f>
        <v>12</v>
      </c>
      <c r="D13" s="12" t="n">
        <f aca="false">COUNTIFS(明細平衡版5日!$E$2:$E$388,"持平",明細平衡版5日!$D$2:$D$388,"上漲")</f>
        <v>25</v>
      </c>
      <c r="E13" s="9" t="n">
        <f aca="false">SUM(B13:D13)</f>
        <v>63</v>
      </c>
    </row>
    <row r="14" customFormat="false" ht="15" hidden="false" customHeight="false" outlineLevel="0" collapsed="false">
      <c r="A14" s="9" t="s">
        <v>161</v>
      </c>
      <c r="B14" s="12" t="n">
        <f aca="false">COUNTIFS(明細平衡版5日!$E$2:$E$388,"上漲",明細平衡版5日!$D$2:$D$388,"下跌")</f>
        <v>89</v>
      </c>
      <c r="C14" s="12" t="n">
        <f aca="false">COUNTIFS(明細平衡版5日!$E$2:$E$388,"上漲",明細平衡版5日!$D$2:$D$388,"持平")</f>
        <v>19</v>
      </c>
      <c r="D14" s="12" t="n">
        <f aca="false">COUNTIFS(明細平衡版5日!$E$2:$E$388,"上漲",明細平衡版5日!$D$2:$D$388,"上漲")</f>
        <v>91</v>
      </c>
      <c r="E14" s="9" t="n">
        <f aca="false">SUM(B14:D14)</f>
        <v>199</v>
      </c>
    </row>
    <row r="15" customFormat="false" ht="15" hidden="false" customHeight="false" outlineLevel="0" collapsed="false">
      <c r="A15" s="9" t="s">
        <v>162</v>
      </c>
      <c r="B15" s="9" t="n">
        <f aca="false">SUM(B12:B14)</f>
        <v>150</v>
      </c>
      <c r="C15" s="9" t="n">
        <f aca="false">SUM(C12:C14)</f>
        <v>47</v>
      </c>
      <c r="D15" s="9" t="n">
        <f aca="false">SUM(D12:D14)</f>
        <v>190</v>
      </c>
      <c r="E15" s="9" t="n">
        <f aca="false">SUM(B15:D15)</f>
        <v>387</v>
      </c>
    </row>
    <row r="17" customFormat="false" ht="17.15" hidden="false" customHeight="false" outlineLevel="0" collapsed="false">
      <c r="A17" s="4" t="s">
        <v>164</v>
      </c>
      <c r="B17" s="5"/>
      <c r="C17" s="5"/>
      <c r="D17" s="5"/>
      <c r="E17" s="5"/>
    </row>
    <row r="18" customFormat="false" ht="17.15" hidden="false" customHeight="false" outlineLevel="0" collapsed="false">
      <c r="A18" s="19" t="s">
        <v>154</v>
      </c>
      <c r="B18" s="19" t="s">
        <v>155</v>
      </c>
      <c r="C18" s="19" t="s">
        <v>156</v>
      </c>
      <c r="D18" s="19" t="s">
        <v>157</v>
      </c>
      <c r="E18" s="19" t="s">
        <v>158</v>
      </c>
    </row>
    <row r="19" customFormat="false" ht="15" hidden="false" customHeight="false" outlineLevel="0" collapsed="false">
      <c r="A19" s="9" t="s">
        <v>159</v>
      </c>
      <c r="B19" s="12" t="n">
        <f aca="false">COUNTIFS(明細基準版1日!$E$2:$E$412,"下跌",明細基準版1日!$D$2:$D$412,"下跌")</f>
        <v>13</v>
      </c>
      <c r="C19" s="12" t="n">
        <f aca="false">COUNTIFS(明細基準版1日!$E$2:$E$412,"下跌",明細基準版1日!$D$2:$D$412,"持平")</f>
        <v>0</v>
      </c>
      <c r="D19" s="12" t="n">
        <f aca="false">COUNTIFS(明細基準版1日!$E$2:$E$412,"下跌",明細基準版1日!$D$2:$D$412,"上漲")</f>
        <v>142</v>
      </c>
      <c r="E19" s="9" t="n">
        <f aca="false">SUM(B19:D19)</f>
        <v>155</v>
      </c>
    </row>
    <row r="20" customFormat="false" ht="15" hidden="false" customHeight="false" outlineLevel="0" collapsed="false">
      <c r="A20" s="9" t="s">
        <v>160</v>
      </c>
      <c r="B20" s="12" t="n">
        <f aca="false">COUNTIFS(明細基準版1日!$E$2:$E$412,"持平",明細基準版1日!$D$2:$D$412,"下跌")</f>
        <v>8</v>
      </c>
      <c r="C20" s="12" t="n">
        <f aca="false">COUNTIFS(明細基準版1日!$E$2:$E$412,"持平",明細基準版1日!$D$2:$D$412,"持平")</f>
        <v>0</v>
      </c>
      <c r="D20" s="12" t="n">
        <f aca="false">COUNTIFS(明細基準版1日!$E$2:$E$412,"持平",明細基準版1日!$D$2:$D$412,"上漲")</f>
        <v>72</v>
      </c>
      <c r="E20" s="9" t="n">
        <f aca="false">SUM(B20:D20)</f>
        <v>80</v>
      </c>
    </row>
    <row r="21" customFormat="false" ht="15" hidden="false" customHeight="false" outlineLevel="0" collapsed="false">
      <c r="A21" s="9" t="s">
        <v>161</v>
      </c>
      <c r="B21" s="12" t="n">
        <f aca="false">COUNTIFS(明細基準版1日!$E$2:$E$412,"上漲",明細基準版1日!$D$2:$D$412,"下跌")</f>
        <v>19</v>
      </c>
      <c r="C21" s="12" t="n">
        <f aca="false">COUNTIFS(明細基準版1日!$E$2:$E$412,"上漲",明細基準版1日!$D$2:$D$412,"持平")</f>
        <v>0</v>
      </c>
      <c r="D21" s="12" t="n">
        <f aca="false">COUNTIFS(明細基準版1日!$E$2:$E$412,"上漲",明細基準版1日!$D$2:$D$412,"上漲")</f>
        <v>157</v>
      </c>
      <c r="E21" s="9" t="n">
        <f aca="false">SUM(B21:D21)</f>
        <v>176</v>
      </c>
    </row>
    <row r="22" customFormat="false" ht="15" hidden="false" customHeight="false" outlineLevel="0" collapsed="false">
      <c r="A22" s="9" t="s">
        <v>162</v>
      </c>
      <c r="B22" s="9" t="n">
        <f aca="false">SUM(B19:B21)</f>
        <v>40</v>
      </c>
      <c r="C22" s="9" t="n">
        <f aca="false">SUM(C19:C21)</f>
        <v>0</v>
      </c>
      <c r="D22" s="9" t="n">
        <f aca="false">SUM(D19:D21)</f>
        <v>371</v>
      </c>
      <c r="E22" s="9" t="n">
        <f aca="false">SUM(B22:D22)</f>
        <v>411</v>
      </c>
    </row>
    <row r="24" customFormat="false" ht="17.15" hidden="false" customHeight="false" outlineLevel="0" collapsed="false">
      <c r="A24" s="4" t="s">
        <v>165</v>
      </c>
      <c r="B24" s="5"/>
      <c r="C24" s="5"/>
      <c r="D24" s="5"/>
      <c r="E24" s="5"/>
    </row>
    <row r="25" customFormat="false" ht="17.15" hidden="false" customHeight="false" outlineLevel="0" collapsed="false">
      <c r="A25" s="19" t="s">
        <v>154</v>
      </c>
      <c r="B25" s="19" t="s">
        <v>155</v>
      </c>
      <c r="C25" s="19" t="s">
        <v>156</v>
      </c>
      <c r="D25" s="19" t="s">
        <v>157</v>
      </c>
      <c r="E25" s="19" t="s">
        <v>158</v>
      </c>
    </row>
    <row r="26" customFormat="false" ht="15" hidden="false" customHeight="false" outlineLevel="0" collapsed="false">
      <c r="A26" s="9" t="s">
        <v>159</v>
      </c>
      <c r="B26" s="12" t="n">
        <f aca="false">COUNTIFS(明細基準版5日!$E$2:$E$388,"下跌",明細基準版5日!$D$2:$D$388,"下跌")</f>
        <v>0</v>
      </c>
      <c r="C26" s="12" t="n">
        <f aca="false">COUNTIFS(明細基準版5日!$E$2:$E$388,"下跌",明細基準版5日!$D$2:$D$388,"持平")</f>
        <v>0</v>
      </c>
      <c r="D26" s="12" t="n">
        <f aca="false">COUNTIFS(明細基準版5日!$E$2:$E$388,"下跌",明細基準版5日!$D$2:$D$388,"上漲")</f>
        <v>125</v>
      </c>
      <c r="E26" s="9" t="n">
        <f aca="false">SUM(B26:D26)</f>
        <v>125</v>
      </c>
    </row>
    <row r="27" customFormat="false" ht="15" hidden="false" customHeight="false" outlineLevel="0" collapsed="false">
      <c r="A27" s="9" t="s">
        <v>160</v>
      </c>
      <c r="B27" s="12" t="n">
        <f aca="false">COUNTIFS(明細基準版5日!$E$2:$E$388,"持平",明細基準版5日!$D$2:$D$388,"下跌")</f>
        <v>0</v>
      </c>
      <c r="C27" s="12" t="n">
        <f aca="false">COUNTIFS(明細基準版5日!$E$2:$E$388,"持平",明細基準版5日!$D$2:$D$388,"持平")</f>
        <v>0</v>
      </c>
      <c r="D27" s="12" t="n">
        <f aca="false">COUNTIFS(明細基準版5日!$E$2:$E$388,"持平",明細基準版5日!$D$2:$D$388,"上漲")</f>
        <v>63</v>
      </c>
      <c r="E27" s="9" t="n">
        <f aca="false">SUM(B27:D27)</f>
        <v>63</v>
      </c>
    </row>
    <row r="28" customFormat="false" ht="15" hidden="false" customHeight="false" outlineLevel="0" collapsed="false">
      <c r="A28" s="9" t="s">
        <v>161</v>
      </c>
      <c r="B28" s="12" t="n">
        <f aca="false">COUNTIFS(明細基準版5日!$E$2:$E$388,"上漲",明細基準版5日!$D$2:$D$388,"下跌")</f>
        <v>0</v>
      </c>
      <c r="C28" s="12" t="n">
        <f aca="false">COUNTIFS(明細基準版5日!$E$2:$E$388,"上漲",明細基準版5日!$D$2:$D$388,"持平")</f>
        <v>0</v>
      </c>
      <c r="D28" s="12" t="n">
        <f aca="false">COUNTIFS(明細基準版5日!$E$2:$E$388,"上漲",明細基準版5日!$D$2:$D$388,"上漲")</f>
        <v>199</v>
      </c>
      <c r="E28" s="9" t="n">
        <f aca="false">SUM(B28:D28)</f>
        <v>199</v>
      </c>
    </row>
    <row r="29" customFormat="false" ht="15" hidden="false" customHeight="false" outlineLevel="0" collapsed="false">
      <c r="A29" s="9" t="s">
        <v>162</v>
      </c>
      <c r="B29" s="9" t="n">
        <f aca="false">SUM(B26:B28)</f>
        <v>0</v>
      </c>
      <c r="C29" s="9" t="n">
        <f aca="false">SUM(C26:C28)</f>
        <v>0</v>
      </c>
      <c r="D29" s="9" t="n">
        <f aca="false">SUM(D26:D28)</f>
        <v>387</v>
      </c>
      <c r="E29" s="9" t="n">
        <f aca="false">SUM(B29:D29)</f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9"/>
    <col collapsed="false" customWidth="true" hidden="false" outlineLevel="0" max="10" min="10" style="0" width="30"/>
  </cols>
  <sheetData>
    <row r="1" customFormat="false" ht="20.1" hidden="false" customHeight="false" outlineLevel="0" collapsed="false">
      <c r="A1" s="16" t="s">
        <v>166</v>
      </c>
    </row>
    <row r="2" customFormat="false" ht="17.15" hidden="false" customHeight="false" outlineLevel="0" collapsed="false">
      <c r="A2" s="3" t="s">
        <v>167</v>
      </c>
    </row>
    <row r="4" customFormat="false" ht="17.15" hidden="false" customHeight="false" outlineLevel="0" collapsed="false">
      <c r="A4" s="6" t="s">
        <v>15</v>
      </c>
      <c r="B4" s="6" t="s">
        <v>16</v>
      </c>
      <c r="C4" s="6" t="s">
        <v>168</v>
      </c>
      <c r="D4" s="6" t="s">
        <v>169</v>
      </c>
      <c r="E4" s="6" t="s">
        <v>170</v>
      </c>
      <c r="F4" s="6" t="s">
        <v>171</v>
      </c>
      <c r="G4" s="11" t="s">
        <v>22</v>
      </c>
      <c r="H4" s="11" t="s">
        <v>23</v>
      </c>
      <c r="I4" s="11" t="s">
        <v>24</v>
      </c>
      <c r="J4" s="6" t="s">
        <v>172</v>
      </c>
    </row>
    <row r="5" customFormat="false" ht="17.15" hidden="false" customHeight="false" outlineLevel="0" collapsed="false">
      <c r="A5" s="12" t="s">
        <v>34</v>
      </c>
      <c r="B5" s="7" t="s">
        <v>35</v>
      </c>
      <c r="C5" s="7" t="s">
        <v>173</v>
      </c>
      <c r="D5" s="12" t="s">
        <v>174</v>
      </c>
      <c r="E5" s="22" t="s">
        <v>40</v>
      </c>
      <c r="F5" s="12" t="s">
        <v>175</v>
      </c>
      <c r="G5" s="14" t="n">
        <v>0.324059618884979</v>
      </c>
      <c r="H5" s="14" t="n">
        <v>0.346641489678298</v>
      </c>
      <c r="I5" s="14" t="n">
        <v>0.329298891436723</v>
      </c>
      <c r="J5" s="7" t="s">
        <v>176</v>
      </c>
    </row>
    <row r="6" customFormat="false" ht="17.15" hidden="false" customHeight="false" outlineLevel="0" collapsed="false">
      <c r="A6" s="12" t="s">
        <v>38</v>
      </c>
      <c r="B6" s="7" t="s">
        <v>39</v>
      </c>
      <c r="C6" s="7" t="s">
        <v>173</v>
      </c>
      <c r="D6" s="12" t="s">
        <v>174</v>
      </c>
      <c r="E6" s="22" t="s">
        <v>40</v>
      </c>
      <c r="F6" s="12" t="s">
        <v>175</v>
      </c>
      <c r="G6" s="14" t="n">
        <v>0.316444999020098</v>
      </c>
      <c r="H6" s="14" t="n">
        <v>0.342184711262461</v>
      </c>
      <c r="I6" s="14" t="n">
        <v>0.341370289717441</v>
      </c>
      <c r="J6" s="7" t="s">
        <v>176</v>
      </c>
    </row>
    <row r="7" customFormat="false" ht="17.15" hidden="false" customHeight="false" outlineLevel="0" collapsed="false">
      <c r="A7" s="12" t="s">
        <v>41</v>
      </c>
      <c r="B7" s="7" t="s">
        <v>42</v>
      </c>
      <c r="C7" s="7" t="s">
        <v>173</v>
      </c>
      <c r="D7" s="12" t="s">
        <v>174</v>
      </c>
      <c r="E7" s="22" t="s">
        <v>40</v>
      </c>
      <c r="F7" s="12" t="s">
        <v>175</v>
      </c>
      <c r="G7" s="14" t="n">
        <v>0.326847147535765</v>
      </c>
      <c r="H7" s="14" t="n">
        <v>0.342804032293893</v>
      </c>
      <c r="I7" s="14" t="n">
        <v>0.330348820170342</v>
      </c>
      <c r="J7" s="7" t="s">
        <v>176</v>
      </c>
    </row>
    <row r="8" customFormat="false" ht="17.15" hidden="false" customHeight="false" outlineLevel="0" collapsed="false">
      <c r="A8" s="12" t="s">
        <v>36</v>
      </c>
      <c r="B8" s="7" t="s">
        <v>37</v>
      </c>
      <c r="C8" s="7" t="s">
        <v>173</v>
      </c>
      <c r="D8" s="12" t="s">
        <v>174</v>
      </c>
      <c r="E8" s="22" t="s">
        <v>40</v>
      </c>
      <c r="F8" s="12" t="s">
        <v>175</v>
      </c>
      <c r="G8" s="14" t="n">
        <v>0.322866182483964</v>
      </c>
      <c r="H8" s="14" t="n">
        <v>0.339494844169313</v>
      </c>
      <c r="I8" s="14" t="n">
        <v>0.337638973346723</v>
      </c>
      <c r="J8" s="7" t="s">
        <v>176</v>
      </c>
    </row>
    <row r="9" customFormat="false" ht="17.15" hidden="false" customHeight="false" outlineLevel="0" collapsed="false">
      <c r="A9" s="12" t="s">
        <v>43</v>
      </c>
      <c r="B9" s="7" t="s">
        <v>44</v>
      </c>
      <c r="C9" s="7" t="s">
        <v>173</v>
      </c>
      <c r="D9" s="12" t="s">
        <v>174</v>
      </c>
      <c r="E9" s="23" t="s">
        <v>31</v>
      </c>
      <c r="F9" s="12" t="s">
        <v>175</v>
      </c>
      <c r="G9" s="14" t="n">
        <v>0.33947593600008</v>
      </c>
      <c r="H9" s="14" t="n">
        <v>0.317411157005442</v>
      </c>
      <c r="I9" s="14" t="n">
        <v>0.343112906994478</v>
      </c>
      <c r="J9" s="7" t="s">
        <v>176</v>
      </c>
    </row>
    <row r="10" customFormat="false" ht="17.15" hidden="false" customHeight="false" outlineLevel="0" collapsed="false">
      <c r="A10" s="12" t="s">
        <v>28</v>
      </c>
      <c r="B10" s="7" t="s">
        <v>29</v>
      </c>
      <c r="C10" s="7" t="s">
        <v>173</v>
      </c>
      <c r="D10" s="12" t="s">
        <v>174</v>
      </c>
      <c r="E10" s="22" t="s">
        <v>40</v>
      </c>
      <c r="F10" s="12" t="s">
        <v>175</v>
      </c>
      <c r="G10" s="14" t="n">
        <v>0.324840894222197</v>
      </c>
      <c r="H10" s="14" t="n">
        <v>0.347477207647954</v>
      </c>
      <c r="I10" s="14" t="n">
        <v>0.32768189812985</v>
      </c>
      <c r="J10" s="7" t="s">
        <v>176</v>
      </c>
    </row>
    <row r="11" customFormat="false" ht="17.15" hidden="false" customHeight="false" outlineLevel="0" collapsed="false">
      <c r="A11" s="12" t="s">
        <v>34</v>
      </c>
      <c r="B11" s="7" t="s">
        <v>35</v>
      </c>
      <c r="C11" s="7" t="s">
        <v>173</v>
      </c>
      <c r="D11" s="12" t="s">
        <v>177</v>
      </c>
      <c r="E11" s="23" t="s">
        <v>31</v>
      </c>
      <c r="F11" s="12" t="s">
        <v>178</v>
      </c>
      <c r="G11" s="14" t="n">
        <v>0.325202778143585</v>
      </c>
      <c r="H11" s="14" t="n">
        <v>0.248120584181864</v>
      </c>
      <c r="I11" s="14" t="n">
        <v>0.42667663767455</v>
      </c>
      <c r="J11" s="7" t="s">
        <v>179</v>
      </c>
    </row>
    <row r="12" customFormat="false" ht="17.15" hidden="false" customHeight="false" outlineLevel="0" collapsed="false">
      <c r="A12" s="12" t="s">
        <v>38</v>
      </c>
      <c r="B12" s="7" t="s">
        <v>39</v>
      </c>
      <c r="C12" s="7" t="s">
        <v>173</v>
      </c>
      <c r="D12" s="12" t="s">
        <v>177</v>
      </c>
      <c r="E12" s="23" t="s">
        <v>31</v>
      </c>
      <c r="F12" s="12" t="s">
        <v>178</v>
      </c>
      <c r="G12" s="14" t="n">
        <v>0.265198010210309</v>
      </c>
      <c r="H12" s="14" t="n">
        <v>0.252595359372145</v>
      </c>
      <c r="I12" s="14" t="n">
        <v>0.482206630417546</v>
      </c>
      <c r="J12" s="7" t="s">
        <v>179</v>
      </c>
    </row>
    <row r="13" customFormat="false" ht="17.15" hidden="false" customHeight="false" outlineLevel="0" collapsed="false">
      <c r="A13" s="12" t="s">
        <v>41</v>
      </c>
      <c r="B13" s="7" t="s">
        <v>42</v>
      </c>
      <c r="C13" s="7" t="s">
        <v>173</v>
      </c>
      <c r="D13" s="12" t="s">
        <v>177</v>
      </c>
      <c r="E13" s="23" t="s">
        <v>31</v>
      </c>
      <c r="F13" s="12" t="s">
        <v>178</v>
      </c>
      <c r="G13" s="14" t="n">
        <v>0.331127687966978</v>
      </c>
      <c r="H13" s="14" t="n">
        <v>0.252353398644674</v>
      </c>
      <c r="I13" s="14" t="n">
        <v>0.416518913388348</v>
      </c>
      <c r="J13" s="7" t="s">
        <v>179</v>
      </c>
    </row>
    <row r="14" customFormat="false" ht="17.15" hidden="false" customHeight="false" outlineLevel="0" collapsed="false">
      <c r="A14" s="12" t="s">
        <v>36</v>
      </c>
      <c r="B14" s="7" t="s">
        <v>37</v>
      </c>
      <c r="C14" s="7" t="s">
        <v>173</v>
      </c>
      <c r="D14" s="12" t="s">
        <v>177</v>
      </c>
      <c r="E14" s="22" t="s">
        <v>40</v>
      </c>
      <c r="F14" s="12" t="s">
        <v>178</v>
      </c>
      <c r="G14" s="14" t="n">
        <v>0.306563665339524</v>
      </c>
      <c r="H14" s="14" t="n">
        <v>0.35852389353238</v>
      </c>
      <c r="I14" s="14" t="n">
        <v>0.334912441128096</v>
      </c>
      <c r="J14" s="7" t="s">
        <v>179</v>
      </c>
    </row>
    <row r="15" customFormat="false" ht="17.15" hidden="false" customHeight="false" outlineLevel="0" collapsed="false">
      <c r="A15" s="12" t="s">
        <v>43</v>
      </c>
      <c r="B15" s="7" t="s">
        <v>44</v>
      </c>
      <c r="C15" s="7" t="s">
        <v>173</v>
      </c>
      <c r="D15" s="12" t="s">
        <v>177</v>
      </c>
      <c r="E15" s="24" t="s">
        <v>32</v>
      </c>
      <c r="F15" s="12" t="s">
        <v>178</v>
      </c>
      <c r="G15" s="14" t="n">
        <v>0.426467078186325</v>
      </c>
      <c r="H15" s="14" t="n">
        <v>0.25402959567918</v>
      </c>
      <c r="I15" s="14" t="n">
        <v>0.319503326134495</v>
      </c>
      <c r="J15" s="7" t="s">
        <v>179</v>
      </c>
    </row>
    <row r="16" customFormat="false" ht="17.15" hidden="false" customHeight="false" outlineLevel="0" collapsed="false">
      <c r="A16" s="12" t="s">
        <v>28</v>
      </c>
      <c r="B16" s="7" t="s">
        <v>29</v>
      </c>
      <c r="C16" s="7" t="s">
        <v>173</v>
      </c>
      <c r="D16" s="12" t="s">
        <v>177</v>
      </c>
      <c r="E16" s="23" t="s">
        <v>31</v>
      </c>
      <c r="F16" s="12" t="s">
        <v>178</v>
      </c>
      <c r="G16" s="14" t="n">
        <v>0.313397524856614</v>
      </c>
      <c r="H16" s="14" t="n">
        <v>0.211201015407543</v>
      </c>
      <c r="I16" s="14" t="n">
        <v>0.475401459735843</v>
      </c>
      <c r="J16" s="7" t="s">
        <v>179</v>
      </c>
    </row>
    <row r="17" customFormat="false" ht="17.15" hidden="false" customHeight="false" outlineLevel="0" collapsed="false">
      <c r="A17" s="12" t="s">
        <v>34</v>
      </c>
      <c r="B17" s="7" t="s">
        <v>35</v>
      </c>
      <c r="C17" s="7" t="s">
        <v>180</v>
      </c>
      <c r="D17" s="12" t="s">
        <v>174</v>
      </c>
      <c r="E17" s="23" t="s">
        <v>31</v>
      </c>
      <c r="F17" s="12" t="s">
        <v>175</v>
      </c>
      <c r="G17" s="14" t="n">
        <v>0.357577461501037</v>
      </c>
      <c r="H17" s="14" t="n">
        <v>0.225105431025396</v>
      </c>
      <c r="I17" s="14" t="n">
        <v>0.417317107473567</v>
      </c>
      <c r="J17" s="7" t="s">
        <v>176</v>
      </c>
    </row>
    <row r="18" customFormat="false" ht="17.15" hidden="false" customHeight="false" outlineLevel="0" collapsed="false">
      <c r="A18" s="12" t="s">
        <v>38</v>
      </c>
      <c r="B18" s="7" t="s">
        <v>39</v>
      </c>
      <c r="C18" s="7" t="s">
        <v>180</v>
      </c>
      <c r="D18" s="12" t="s">
        <v>174</v>
      </c>
      <c r="E18" s="23" t="s">
        <v>31</v>
      </c>
      <c r="F18" s="12" t="s">
        <v>175</v>
      </c>
      <c r="G18" s="14" t="n">
        <v>0.353212386525316</v>
      </c>
      <c r="H18" s="14" t="n">
        <v>0.222357489139621</v>
      </c>
      <c r="I18" s="14" t="n">
        <v>0.424430124335063</v>
      </c>
      <c r="J18" s="7" t="s">
        <v>176</v>
      </c>
    </row>
    <row r="19" customFormat="false" ht="17.15" hidden="false" customHeight="false" outlineLevel="0" collapsed="false">
      <c r="A19" s="12" t="s">
        <v>41</v>
      </c>
      <c r="B19" s="7" t="s">
        <v>42</v>
      </c>
      <c r="C19" s="7" t="s">
        <v>180</v>
      </c>
      <c r="D19" s="12" t="s">
        <v>174</v>
      </c>
      <c r="E19" s="23" t="s">
        <v>31</v>
      </c>
      <c r="F19" s="12" t="s">
        <v>175</v>
      </c>
      <c r="G19" s="14" t="n">
        <v>0.36563024988755</v>
      </c>
      <c r="H19" s="14" t="n">
        <v>0.221541076624834</v>
      </c>
      <c r="I19" s="14" t="n">
        <v>0.412828673487616</v>
      </c>
      <c r="J19" s="7" t="s">
        <v>176</v>
      </c>
    </row>
    <row r="20" customFormat="false" ht="17.15" hidden="false" customHeight="false" outlineLevel="0" collapsed="false">
      <c r="A20" s="12" t="s">
        <v>36</v>
      </c>
      <c r="B20" s="7" t="s">
        <v>37</v>
      </c>
      <c r="C20" s="7" t="s">
        <v>180</v>
      </c>
      <c r="D20" s="12" t="s">
        <v>174</v>
      </c>
      <c r="E20" s="23" t="s">
        <v>31</v>
      </c>
      <c r="F20" s="12" t="s">
        <v>175</v>
      </c>
      <c r="G20" s="14" t="n">
        <v>0.361530050398289</v>
      </c>
      <c r="H20" s="14" t="n">
        <v>0.226545320110649</v>
      </c>
      <c r="I20" s="14" t="n">
        <v>0.411924629491062</v>
      </c>
      <c r="J20" s="7" t="s">
        <v>176</v>
      </c>
    </row>
    <row r="21" customFormat="false" ht="17.15" hidden="false" customHeight="false" outlineLevel="0" collapsed="false">
      <c r="A21" s="12" t="s">
        <v>43</v>
      </c>
      <c r="B21" s="7" t="s">
        <v>44</v>
      </c>
      <c r="C21" s="7" t="s">
        <v>180</v>
      </c>
      <c r="D21" s="12" t="s">
        <v>174</v>
      </c>
      <c r="E21" s="23" t="s">
        <v>31</v>
      </c>
      <c r="F21" s="12" t="s">
        <v>175</v>
      </c>
      <c r="G21" s="14" t="n">
        <v>0.364503559359862</v>
      </c>
      <c r="H21" s="14" t="n">
        <v>0.223939899740347</v>
      </c>
      <c r="I21" s="14" t="n">
        <v>0.411556540899791</v>
      </c>
      <c r="J21" s="7" t="s">
        <v>176</v>
      </c>
    </row>
    <row r="22" customFormat="false" ht="17.15" hidden="false" customHeight="false" outlineLevel="0" collapsed="false">
      <c r="A22" s="12" t="s">
        <v>28</v>
      </c>
      <c r="B22" s="7" t="s">
        <v>29</v>
      </c>
      <c r="C22" s="7" t="s">
        <v>180</v>
      </c>
      <c r="D22" s="12" t="s">
        <v>174</v>
      </c>
      <c r="E22" s="23" t="s">
        <v>31</v>
      </c>
      <c r="F22" s="12" t="s">
        <v>175</v>
      </c>
      <c r="G22" s="14" t="n">
        <v>0.362500486182745</v>
      </c>
      <c r="H22" s="14" t="n">
        <v>0.228204618508501</v>
      </c>
      <c r="I22" s="14" t="n">
        <v>0.409294895308754</v>
      </c>
      <c r="J22" s="7" t="s">
        <v>176</v>
      </c>
    </row>
    <row r="23" customFormat="false" ht="17.15" hidden="false" customHeight="false" outlineLevel="0" collapsed="false">
      <c r="A23" s="12" t="s">
        <v>34</v>
      </c>
      <c r="B23" s="7" t="s">
        <v>35</v>
      </c>
      <c r="C23" s="7" t="s">
        <v>180</v>
      </c>
      <c r="D23" s="12" t="s">
        <v>177</v>
      </c>
      <c r="E23" s="23" t="s">
        <v>31</v>
      </c>
      <c r="F23" s="12" t="s">
        <v>178</v>
      </c>
      <c r="G23" s="14" t="n">
        <v>0.288800897518395</v>
      </c>
      <c r="H23" s="14" t="n">
        <v>0.218618577794119</v>
      </c>
      <c r="I23" s="14" t="n">
        <v>0.492580524687487</v>
      </c>
      <c r="J23" s="7" t="s">
        <v>179</v>
      </c>
    </row>
    <row r="24" customFormat="false" ht="17.15" hidden="false" customHeight="false" outlineLevel="0" collapsed="false">
      <c r="A24" s="12" t="s">
        <v>38</v>
      </c>
      <c r="B24" s="7" t="s">
        <v>39</v>
      </c>
      <c r="C24" s="7" t="s">
        <v>180</v>
      </c>
      <c r="D24" s="12" t="s">
        <v>177</v>
      </c>
      <c r="E24" s="23" t="s">
        <v>31</v>
      </c>
      <c r="F24" s="12" t="s">
        <v>178</v>
      </c>
      <c r="G24" s="14" t="n">
        <v>0.284859385036835</v>
      </c>
      <c r="H24" s="14" t="n">
        <v>0.227759686023391</v>
      </c>
      <c r="I24" s="14" t="n">
        <v>0.487380928939774</v>
      </c>
      <c r="J24" s="7" t="s">
        <v>179</v>
      </c>
    </row>
    <row r="25" customFormat="false" ht="17.15" hidden="false" customHeight="false" outlineLevel="0" collapsed="false">
      <c r="A25" s="12" t="s">
        <v>41</v>
      </c>
      <c r="B25" s="7" t="s">
        <v>42</v>
      </c>
      <c r="C25" s="7" t="s">
        <v>180</v>
      </c>
      <c r="D25" s="12" t="s">
        <v>177</v>
      </c>
      <c r="E25" s="23" t="s">
        <v>31</v>
      </c>
      <c r="F25" s="12" t="s">
        <v>178</v>
      </c>
      <c r="G25" s="14" t="n">
        <v>0.287637537912004</v>
      </c>
      <c r="H25" s="14" t="n">
        <v>0.217644219720591</v>
      </c>
      <c r="I25" s="14" t="n">
        <v>0.494718242367406</v>
      </c>
      <c r="J25" s="7" t="s">
        <v>179</v>
      </c>
    </row>
    <row r="26" customFormat="false" ht="17.15" hidden="false" customHeight="false" outlineLevel="0" collapsed="false">
      <c r="A26" s="12" t="s">
        <v>36</v>
      </c>
      <c r="B26" s="7" t="s">
        <v>37</v>
      </c>
      <c r="C26" s="7" t="s">
        <v>180</v>
      </c>
      <c r="D26" s="12" t="s">
        <v>177</v>
      </c>
      <c r="E26" s="23" t="s">
        <v>31</v>
      </c>
      <c r="F26" s="12" t="s">
        <v>178</v>
      </c>
      <c r="G26" s="14" t="n">
        <v>0.277746381007471</v>
      </c>
      <c r="H26" s="14" t="n">
        <v>0.249020717236985</v>
      </c>
      <c r="I26" s="14" t="n">
        <v>0.473232901755544</v>
      </c>
      <c r="J26" s="7" t="s">
        <v>179</v>
      </c>
    </row>
    <row r="27" customFormat="false" ht="17.15" hidden="false" customHeight="false" outlineLevel="0" collapsed="false">
      <c r="A27" s="12" t="s">
        <v>43</v>
      </c>
      <c r="B27" s="7" t="s">
        <v>44</v>
      </c>
      <c r="C27" s="7" t="s">
        <v>180</v>
      </c>
      <c r="D27" s="12" t="s">
        <v>177</v>
      </c>
      <c r="E27" s="23" t="s">
        <v>31</v>
      </c>
      <c r="F27" s="12" t="s">
        <v>178</v>
      </c>
      <c r="G27" s="14" t="n">
        <v>0.319659022870625</v>
      </c>
      <c r="H27" s="14" t="n">
        <v>0.221095520239089</v>
      </c>
      <c r="I27" s="14" t="n">
        <v>0.459245456890286</v>
      </c>
      <c r="J27" s="7" t="s">
        <v>179</v>
      </c>
    </row>
    <row r="28" customFormat="false" ht="17.15" hidden="false" customHeight="false" outlineLevel="0" collapsed="false">
      <c r="A28" s="12" t="s">
        <v>28</v>
      </c>
      <c r="B28" s="7" t="s">
        <v>29</v>
      </c>
      <c r="C28" s="7" t="s">
        <v>180</v>
      </c>
      <c r="D28" s="12" t="s">
        <v>177</v>
      </c>
      <c r="E28" s="23" t="s">
        <v>31</v>
      </c>
      <c r="F28" s="12" t="s">
        <v>178</v>
      </c>
      <c r="G28" s="14" t="n">
        <v>0.283256798812715</v>
      </c>
      <c r="H28" s="14" t="n">
        <v>0.221764180090123</v>
      </c>
      <c r="I28" s="14" t="n">
        <v>0.494979021097162</v>
      </c>
      <c r="J28" s="7" t="s">
        <v>179</v>
      </c>
    </row>
    <row r="30" customFormat="false" ht="17.15" hidden="false" customHeight="false" outlineLevel="0" collapsed="false">
      <c r="A30" s="18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2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8" min="8" style="0" width="9"/>
  </cols>
  <sheetData>
    <row r="1" customFormat="false" ht="20.1" hidden="false" customHeight="false" outlineLevel="0" collapsed="false">
      <c r="A1" s="16" t="s">
        <v>182</v>
      </c>
    </row>
    <row r="2" customFormat="false" ht="17.15" hidden="false" customHeight="false" outlineLevel="0" collapsed="false">
      <c r="A2" s="18" t="s">
        <v>183</v>
      </c>
    </row>
    <row r="4" customFormat="false" ht="17.15" hidden="false" customHeight="false" outlineLevel="0" collapsed="false">
      <c r="A4" s="6" t="s">
        <v>168</v>
      </c>
      <c r="B4" s="6" t="s">
        <v>184</v>
      </c>
      <c r="C4" s="6" t="s">
        <v>17</v>
      </c>
      <c r="D4" s="6" t="s">
        <v>185</v>
      </c>
      <c r="E4" s="6" t="s">
        <v>18</v>
      </c>
      <c r="F4" s="6" t="s">
        <v>19</v>
      </c>
      <c r="G4" s="6" t="s">
        <v>21</v>
      </c>
      <c r="H4" s="6" t="s">
        <v>186</v>
      </c>
    </row>
    <row r="5" customFormat="false" ht="17.15" hidden="false" customHeight="false" outlineLevel="0" collapsed="false">
      <c r="A5" s="7" t="s">
        <v>173</v>
      </c>
      <c r="B5" s="12" t="s">
        <v>187</v>
      </c>
      <c r="C5" s="12" t="s">
        <v>114</v>
      </c>
      <c r="D5" s="12" t="s">
        <v>115</v>
      </c>
      <c r="E5" s="7" t="s">
        <v>40</v>
      </c>
      <c r="F5" s="7" t="s">
        <v>31</v>
      </c>
      <c r="G5" s="13" t="n">
        <v>0.0053191489361701</v>
      </c>
      <c r="H5" s="25" t="s">
        <v>188</v>
      </c>
    </row>
    <row r="6" customFormat="false" ht="17.15" hidden="false" customHeight="false" outlineLevel="0" collapsed="false">
      <c r="A6" s="7" t="s">
        <v>173</v>
      </c>
      <c r="B6" s="12" t="s">
        <v>189</v>
      </c>
      <c r="C6" s="12" t="s">
        <v>114</v>
      </c>
      <c r="D6" s="12" t="s">
        <v>115</v>
      </c>
      <c r="E6" s="7" t="s">
        <v>40</v>
      </c>
      <c r="F6" s="7" t="s">
        <v>40</v>
      </c>
      <c r="G6" s="13" t="n">
        <v>-0.0042105263157894</v>
      </c>
      <c r="H6" s="26" t="s">
        <v>190</v>
      </c>
    </row>
    <row r="7" customFormat="false" ht="17.15" hidden="false" customHeight="false" outlineLevel="0" collapsed="false">
      <c r="A7" s="7" t="s">
        <v>173</v>
      </c>
      <c r="B7" s="12" t="s">
        <v>191</v>
      </c>
      <c r="C7" s="12" t="s">
        <v>114</v>
      </c>
      <c r="D7" s="12" t="s">
        <v>115</v>
      </c>
      <c r="E7" s="7" t="s">
        <v>32</v>
      </c>
      <c r="F7" s="7" t="s">
        <v>31</v>
      </c>
      <c r="G7" s="13" t="n">
        <v>0.0103519668737059</v>
      </c>
      <c r="H7" s="25" t="s">
        <v>188</v>
      </c>
    </row>
    <row r="8" customFormat="false" ht="17.15" hidden="false" customHeight="false" outlineLevel="0" collapsed="false">
      <c r="A8" s="7" t="s">
        <v>173</v>
      </c>
      <c r="B8" s="12" t="s">
        <v>192</v>
      </c>
      <c r="C8" s="12" t="s">
        <v>114</v>
      </c>
      <c r="D8" s="12" t="s">
        <v>115</v>
      </c>
      <c r="E8" s="7" t="s">
        <v>32</v>
      </c>
      <c r="F8" s="7" t="s">
        <v>32</v>
      </c>
      <c r="G8" s="13" t="n">
        <v>-0.0254777070063694</v>
      </c>
      <c r="H8" s="26" t="s">
        <v>190</v>
      </c>
    </row>
    <row r="9" customFormat="false" ht="17.15" hidden="false" customHeight="false" outlineLevel="0" collapsed="false">
      <c r="A9" s="7" t="s">
        <v>173</v>
      </c>
      <c r="B9" s="12" t="s">
        <v>193</v>
      </c>
      <c r="C9" s="12" t="s">
        <v>114</v>
      </c>
      <c r="D9" s="12" t="s">
        <v>115</v>
      </c>
      <c r="E9" s="7" t="s">
        <v>40</v>
      </c>
      <c r="F9" s="7" t="s">
        <v>40</v>
      </c>
      <c r="G9" s="13" t="n">
        <v>0.0025706940874035</v>
      </c>
      <c r="H9" s="26" t="s">
        <v>190</v>
      </c>
    </row>
    <row r="10" customFormat="false" ht="17.15" hidden="false" customHeight="false" outlineLevel="0" collapsed="false">
      <c r="A10" s="7" t="s">
        <v>173</v>
      </c>
      <c r="B10" s="12" t="s">
        <v>194</v>
      </c>
      <c r="C10" s="12" t="s">
        <v>114</v>
      </c>
      <c r="D10" s="12" t="s">
        <v>115</v>
      </c>
      <c r="E10" s="7" t="s">
        <v>31</v>
      </c>
      <c r="F10" s="7" t="s">
        <v>40</v>
      </c>
      <c r="G10" s="13" t="n">
        <v>0.0041536863966771</v>
      </c>
      <c r="H10" s="25" t="s">
        <v>188</v>
      </c>
    </row>
    <row r="11" customFormat="false" ht="17.15" hidden="false" customHeight="false" outlineLevel="0" collapsed="false">
      <c r="A11" s="7" t="s">
        <v>173</v>
      </c>
      <c r="B11" s="12" t="s">
        <v>187</v>
      </c>
      <c r="C11" s="12" t="s">
        <v>115</v>
      </c>
      <c r="D11" s="12" t="s">
        <v>195</v>
      </c>
      <c r="E11" s="7" t="s">
        <v>40</v>
      </c>
      <c r="F11" s="7" t="s">
        <v>32</v>
      </c>
      <c r="G11" s="13" t="n">
        <v>-0.0185185185185184</v>
      </c>
      <c r="H11" s="25" t="s">
        <v>188</v>
      </c>
    </row>
    <row r="12" customFormat="false" ht="17.15" hidden="false" customHeight="false" outlineLevel="0" collapsed="false">
      <c r="A12" s="7" t="s">
        <v>173</v>
      </c>
      <c r="B12" s="12" t="s">
        <v>189</v>
      </c>
      <c r="C12" s="12" t="s">
        <v>115</v>
      </c>
      <c r="D12" s="12" t="s">
        <v>195</v>
      </c>
      <c r="E12" s="7" t="s">
        <v>40</v>
      </c>
      <c r="F12" s="7" t="s">
        <v>40</v>
      </c>
      <c r="G12" s="13" t="n">
        <v>-0.0042283298097252</v>
      </c>
      <c r="H12" s="26" t="s">
        <v>190</v>
      </c>
    </row>
    <row r="13" customFormat="false" ht="17.15" hidden="false" customHeight="false" outlineLevel="0" collapsed="false">
      <c r="A13" s="7" t="s">
        <v>173</v>
      </c>
      <c r="B13" s="12" t="s">
        <v>191</v>
      </c>
      <c r="C13" s="12" t="s">
        <v>115</v>
      </c>
      <c r="D13" s="12" t="s">
        <v>195</v>
      </c>
      <c r="E13" s="7" t="s">
        <v>32</v>
      </c>
      <c r="F13" s="7" t="s">
        <v>32</v>
      </c>
      <c r="G13" s="13" t="n">
        <v>-0.0081967213114754</v>
      </c>
      <c r="H13" s="26" t="s">
        <v>190</v>
      </c>
    </row>
    <row r="14" customFormat="false" ht="17.15" hidden="false" customHeight="false" outlineLevel="0" collapsed="false">
      <c r="A14" s="7" t="s">
        <v>173</v>
      </c>
      <c r="B14" s="12" t="s">
        <v>192</v>
      </c>
      <c r="C14" s="12" t="s">
        <v>115</v>
      </c>
      <c r="D14" s="12" t="s">
        <v>195</v>
      </c>
      <c r="E14" s="7" t="s">
        <v>31</v>
      </c>
      <c r="F14" s="7" t="s">
        <v>32</v>
      </c>
      <c r="G14" s="13" t="n">
        <v>-0.0431372549019607</v>
      </c>
      <c r="H14" s="25" t="s">
        <v>188</v>
      </c>
    </row>
    <row r="15" customFormat="false" ht="17.15" hidden="false" customHeight="false" outlineLevel="0" collapsed="false">
      <c r="A15" s="7" t="s">
        <v>173</v>
      </c>
      <c r="B15" s="12" t="s">
        <v>193</v>
      </c>
      <c r="C15" s="12" t="s">
        <v>115</v>
      </c>
      <c r="D15" s="12" t="s">
        <v>195</v>
      </c>
      <c r="E15" s="7" t="s">
        <v>32</v>
      </c>
      <c r="F15" s="7" t="s">
        <v>40</v>
      </c>
      <c r="G15" s="13" t="n">
        <v>-0.0025641025641025</v>
      </c>
      <c r="H15" s="25" t="s">
        <v>188</v>
      </c>
    </row>
    <row r="16" customFormat="false" ht="17.15" hidden="false" customHeight="false" outlineLevel="0" collapsed="false">
      <c r="A16" s="7" t="s">
        <v>173</v>
      </c>
      <c r="B16" s="12" t="s">
        <v>194</v>
      </c>
      <c r="C16" s="12" t="s">
        <v>115</v>
      </c>
      <c r="D16" s="12" t="s">
        <v>195</v>
      </c>
      <c r="E16" s="7" t="s">
        <v>31</v>
      </c>
      <c r="F16" s="7" t="s">
        <v>32</v>
      </c>
      <c r="G16" s="13" t="n">
        <v>-0.0062047569803517</v>
      </c>
      <c r="H16" s="25" t="s">
        <v>188</v>
      </c>
    </row>
    <row r="18" customFormat="false" ht="17.15" hidden="false" customHeight="false" outlineLevel="0" collapsed="false">
      <c r="A18" s="7" t="s">
        <v>180</v>
      </c>
      <c r="B18" s="12" t="s">
        <v>187</v>
      </c>
      <c r="C18" s="12" t="s">
        <v>114</v>
      </c>
      <c r="D18" s="12" t="s">
        <v>115</v>
      </c>
      <c r="E18" s="7" t="s">
        <v>31</v>
      </c>
      <c r="F18" s="7" t="s">
        <v>31</v>
      </c>
      <c r="G18" s="13" t="n">
        <v>0.0053191489361701</v>
      </c>
      <c r="H18" s="26" t="s">
        <v>190</v>
      </c>
    </row>
    <row r="19" customFormat="false" ht="17.15" hidden="false" customHeight="false" outlineLevel="0" collapsed="false">
      <c r="A19" s="7" t="s">
        <v>180</v>
      </c>
      <c r="B19" s="12" t="s">
        <v>189</v>
      </c>
      <c r="C19" s="12" t="s">
        <v>114</v>
      </c>
      <c r="D19" s="12" t="s">
        <v>115</v>
      </c>
      <c r="E19" s="7" t="s">
        <v>31</v>
      </c>
      <c r="F19" s="7" t="s">
        <v>40</v>
      </c>
      <c r="G19" s="13" t="n">
        <v>-0.0042105263157894</v>
      </c>
      <c r="H19" s="25" t="s">
        <v>188</v>
      </c>
    </row>
    <row r="20" customFormat="false" ht="17.15" hidden="false" customHeight="false" outlineLevel="0" collapsed="false">
      <c r="A20" s="7" t="s">
        <v>180</v>
      </c>
      <c r="B20" s="12" t="s">
        <v>191</v>
      </c>
      <c r="C20" s="12" t="s">
        <v>114</v>
      </c>
      <c r="D20" s="12" t="s">
        <v>115</v>
      </c>
      <c r="E20" s="7" t="s">
        <v>31</v>
      </c>
      <c r="F20" s="7" t="s">
        <v>31</v>
      </c>
      <c r="G20" s="13" t="n">
        <v>0.0103519668737059</v>
      </c>
      <c r="H20" s="26" t="s">
        <v>190</v>
      </c>
    </row>
    <row r="21" customFormat="false" ht="17.15" hidden="false" customHeight="false" outlineLevel="0" collapsed="false">
      <c r="A21" s="7" t="s">
        <v>180</v>
      </c>
      <c r="B21" s="12" t="s">
        <v>192</v>
      </c>
      <c r="C21" s="12" t="s">
        <v>114</v>
      </c>
      <c r="D21" s="12" t="s">
        <v>115</v>
      </c>
      <c r="E21" s="7" t="s">
        <v>31</v>
      </c>
      <c r="F21" s="7" t="s">
        <v>32</v>
      </c>
      <c r="G21" s="13" t="n">
        <v>-0.0254777070063694</v>
      </c>
      <c r="H21" s="25" t="s">
        <v>188</v>
      </c>
    </row>
    <row r="22" customFormat="false" ht="17.15" hidden="false" customHeight="false" outlineLevel="0" collapsed="false">
      <c r="A22" s="7" t="s">
        <v>180</v>
      </c>
      <c r="B22" s="12" t="s">
        <v>193</v>
      </c>
      <c r="C22" s="12" t="s">
        <v>114</v>
      </c>
      <c r="D22" s="12" t="s">
        <v>115</v>
      </c>
      <c r="E22" s="7" t="s">
        <v>31</v>
      </c>
      <c r="F22" s="7" t="s">
        <v>40</v>
      </c>
      <c r="G22" s="13" t="n">
        <v>0.0025706940874035</v>
      </c>
      <c r="H22" s="25" t="s">
        <v>188</v>
      </c>
    </row>
    <row r="23" customFormat="false" ht="17.15" hidden="false" customHeight="false" outlineLevel="0" collapsed="false">
      <c r="A23" s="7" t="s">
        <v>180</v>
      </c>
      <c r="B23" s="12" t="s">
        <v>194</v>
      </c>
      <c r="C23" s="12" t="s">
        <v>114</v>
      </c>
      <c r="D23" s="12" t="s">
        <v>115</v>
      </c>
      <c r="E23" s="7" t="s">
        <v>31</v>
      </c>
      <c r="F23" s="7" t="s">
        <v>40</v>
      </c>
      <c r="G23" s="13" t="n">
        <v>0.0041536863966771</v>
      </c>
      <c r="H23" s="25" t="s">
        <v>188</v>
      </c>
    </row>
    <row r="24" customFormat="false" ht="17.15" hidden="false" customHeight="false" outlineLevel="0" collapsed="false">
      <c r="A24" s="7" t="s">
        <v>180</v>
      </c>
      <c r="B24" s="12" t="s">
        <v>187</v>
      </c>
      <c r="C24" s="12" t="s">
        <v>115</v>
      </c>
      <c r="D24" s="12" t="s">
        <v>195</v>
      </c>
      <c r="E24" s="7" t="s">
        <v>31</v>
      </c>
      <c r="F24" s="7" t="s">
        <v>32</v>
      </c>
      <c r="G24" s="13" t="n">
        <v>-0.0185185185185184</v>
      </c>
      <c r="H24" s="25" t="s">
        <v>188</v>
      </c>
    </row>
    <row r="25" customFormat="false" ht="17.15" hidden="false" customHeight="false" outlineLevel="0" collapsed="false">
      <c r="A25" s="7" t="s">
        <v>180</v>
      </c>
      <c r="B25" s="12" t="s">
        <v>189</v>
      </c>
      <c r="C25" s="12" t="s">
        <v>115</v>
      </c>
      <c r="D25" s="12" t="s">
        <v>195</v>
      </c>
      <c r="E25" s="7" t="s">
        <v>31</v>
      </c>
      <c r="F25" s="7" t="s">
        <v>40</v>
      </c>
      <c r="G25" s="13" t="n">
        <v>-0.0042283298097252</v>
      </c>
      <c r="H25" s="25" t="s">
        <v>188</v>
      </c>
    </row>
    <row r="26" customFormat="false" ht="17.15" hidden="false" customHeight="false" outlineLevel="0" collapsed="false">
      <c r="A26" s="7" t="s">
        <v>180</v>
      </c>
      <c r="B26" s="12" t="s">
        <v>191</v>
      </c>
      <c r="C26" s="12" t="s">
        <v>115</v>
      </c>
      <c r="D26" s="12" t="s">
        <v>195</v>
      </c>
      <c r="E26" s="7" t="s">
        <v>31</v>
      </c>
      <c r="F26" s="7" t="s">
        <v>32</v>
      </c>
      <c r="G26" s="13" t="n">
        <v>-0.0081967213114754</v>
      </c>
      <c r="H26" s="25" t="s">
        <v>188</v>
      </c>
    </row>
    <row r="27" customFormat="false" ht="17.15" hidden="false" customHeight="false" outlineLevel="0" collapsed="false">
      <c r="A27" s="7" t="s">
        <v>180</v>
      </c>
      <c r="B27" s="12" t="s">
        <v>192</v>
      </c>
      <c r="C27" s="12" t="s">
        <v>115</v>
      </c>
      <c r="D27" s="12" t="s">
        <v>195</v>
      </c>
      <c r="E27" s="7" t="s">
        <v>31</v>
      </c>
      <c r="F27" s="7" t="s">
        <v>32</v>
      </c>
      <c r="G27" s="13" t="n">
        <v>-0.0431372549019607</v>
      </c>
      <c r="H27" s="25" t="s">
        <v>188</v>
      </c>
    </row>
    <row r="28" customFormat="false" ht="17.15" hidden="false" customHeight="false" outlineLevel="0" collapsed="false">
      <c r="A28" s="7" t="s">
        <v>180</v>
      </c>
      <c r="B28" s="12" t="s">
        <v>193</v>
      </c>
      <c r="C28" s="12" t="s">
        <v>115</v>
      </c>
      <c r="D28" s="12" t="s">
        <v>195</v>
      </c>
      <c r="E28" s="7" t="s">
        <v>31</v>
      </c>
      <c r="F28" s="7" t="s">
        <v>40</v>
      </c>
      <c r="G28" s="13" t="n">
        <v>-0.0025641025641025</v>
      </c>
      <c r="H28" s="25" t="s">
        <v>188</v>
      </c>
    </row>
    <row r="29" customFormat="false" ht="17.15" hidden="false" customHeight="false" outlineLevel="0" collapsed="false">
      <c r="A29" s="7" t="s">
        <v>180</v>
      </c>
      <c r="B29" s="12" t="s">
        <v>194</v>
      </c>
      <c r="C29" s="12" t="s">
        <v>115</v>
      </c>
      <c r="D29" s="12" t="s">
        <v>195</v>
      </c>
      <c r="E29" s="7" t="s">
        <v>31</v>
      </c>
      <c r="F29" s="7" t="s">
        <v>32</v>
      </c>
      <c r="G29" s="13" t="n">
        <v>-0.0062047569803517</v>
      </c>
      <c r="H29" s="25" t="s">
        <v>188</v>
      </c>
    </row>
    <row r="31" customFormat="false" ht="17.15" hidden="false" customHeight="false" outlineLevel="0" collapsed="false">
      <c r="A31" s="17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  <col collapsed="false" customWidth="true" hidden="false" outlineLevel="0" max="7" min="7" style="0" width="30"/>
  </cols>
  <sheetData>
    <row r="1" customFormat="false" ht="16.15" hidden="false" customHeight="false" outlineLevel="0" collapsed="false">
      <c r="A1" s="16" t="s">
        <v>197</v>
      </c>
    </row>
    <row r="3" customFormat="false" ht="17.15" hidden="false" customHeight="false" outlineLevel="0" collapsed="false">
      <c r="A3" s="27" t="s">
        <v>198</v>
      </c>
      <c r="B3" s="5"/>
      <c r="C3" s="5"/>
      <c r="D3" s="5"/>
      <c r="E3" s="5"/>
      <c r="F3" s="5"/>
      <c r="G3" s="5"/>
    </row>
    <row r="4" customFormat="false" ht="17.15" hidden="false" customHeight="false" outlineLevel="0" collapsed="false">
      <c r="A4" s="6" t="s">
        <v>184</v>
      </c>
      <c r="B4" s="6" t="s">
        <v>199</v>
      </c>
      <c r="C4" s="6" t="s">
        <v>200</v>
      </c>
      <c r="D4" s="6" t="s">
        <v>201</v>
      </c>
      <c r="E4" s="6" t="s">
        <v>202</v>
      </c>
      <c r="F4" s="6" t="s">
        <v>203</v>
      </c>
      <c r="G4" s="6" t="s">
        <v>204</v>
      </c>
    </row>
    <row r="5" customFormat="false" ht="17.15" hidden="false" customHeight="false" outlineLevel="0" collapsed="false">
      <c r="A5" s="12" t="s">
        <v>191</v>
      </c>
      <c r="B5" s="15" t="n">
        <v>273</v>
      </c>
      <c r="C5" s="12" t="s">
        <v>205</v>
      </c>
      <c r="D5" s="12" t="s">
        <v>195</v>
      </c>
      <c r="E5" s="28" t="n">
        <v>2420</v>
      </c>
      <c r="F5" s="12" t="s">
        <v>206</v>
      </c>
      <c r="G5" s="12" t="s">
        <v>207</v>
      </c>
    </row>
    <row r="6" customFormat="false" ht="17.15" hidden="false" customHeight="false" outlineLevel="0" collapsed="false">
      <c r="A6" s="12" t="s">
        <v>189</v>
      </c>
      <c r="B6" s="15" t="n">
        <v>272</v>
      </c>
      <c r="C6" s="12" t="s">
        <v>205</v>
      </c>
      <c r="D6" s="12" t="s">
        <v>195</v>
      </c>
      <c r="E6" s="28" t="n">
        <v>235.5</v>
      </c>
      <c r="F6" s="12" t="s">
        <v>206</v>
      </c>
      <c r="G6" s="12" t="s">
        <v>207</v>
      </c>
    </row>
    <row r="7" customFormat="false" ht="17.15" hidden="false" customHeight="false" outlineLevel="0" collapsed="false">
      <c r="A7" s="12" t="s">
        <v>192</v>
      </c>
      <c r="B7" s="15" t="n">
        <v>273</v>
      </c>
      <c r="C7" s="12" t="s">
        <v>205</v>
      </c>
      <c r="D7" s="12" t="s">
        <v>195</v>
      </c>
      <c r="E7" s="28" t="n">
        <v>3660</v>
      </c>
      <c r="F7" s="12" t="s">
        <v>206</v>
      </c>
      <c r="G7" s="12" t="s">
        <v>207</v>
      </c>
    </row>
    <row r="8" customFormat="false" ht="17.15" hidden="false" customHeight="false" outlineLevel="0" collapsed="false">
      <c r="A8" s="12" t="s">
        <v>194</v>
      </c>
      <c r="B8" s="15" t="n">
        <v>273</v>
      </c>
      <c r="C8" s="12" t="s">
        <v>205</v>
      </c>
      <c r="D8" s="12" t="s">
        <v>195</v>
      </c>
      <c r="E8" s="28" t="n">
        <v>96.1</v>
      </c>
      <c r="F8" s="12" t="s">
        <v>206</v>
      </c>
      <c r="G8" s="12" t="s">
        <v>207</v>
      </c>
    </row>
    <row r="9" customFormat="false" ht="17.15" hidden="false" customHeight="false" outlineLevel="0" collapsed="false">
      <c r="A9" s="12" t="s">
        <v>193</v>
      </c>
      <c r="B9" s="15" t="n">
        <v>273</v>
      </c>
      <c r="C9" s="12" t="s">
        <v>205</v>
      </c>
      <c r="D9" s="12" t="s">
        <v>195</v>
      </c>
      <c r="E9" s="28" t="n">
        <v>194.5</v>
      </c>
      <c r="F9" s="12" t="s">
        <v>206</v>
      </c>
      <c r="G9" s="12" t="s">
        <v>207</v>
      </c>
    </row>
    <row r="10" customFormat="false" ht="17.15" hidden="false" customHeight="false" outlineLevel="0" collapsed="false">
      <c r="A10" s="12" t="s">
        <v>187</v>
      </c>
      <c r="B10" s="15" t="n">
        <v>273</v>
      </c>
      <c r="C10" s="12" t="s">
        <v>205</v>
      </c>
      <c r="D10" s="12" t="s">
        <v>195</v>
      </c>
      <c r="E10" s="28" t="n">
        <v>1855</v>
      </c>
      <c r="F10" s="12" t="s">
        <v>206</v>
      </c>
      <c r="G10" s="12" t="s">
        <v>207</v>
      </c>
    </row>
    <row r="12" customFormat="false" ht="17.15" hidden="false" customHeight="false" outlineLevel="0" collapsed="false">
      <c r="A12" s="27" t="s">
        <v>208</v>
      </c>
      <c r="B12" s="5"/>
      <c r="C12" s="5"/>
      <c r="D12" s="5"/>
      <c r="E12" s="5"/>
      <c r="F12" s="5"/>
      <c r="G12" s="5"/>
    </row>
    <row r="13" customFormat="false" ht="32.8" hidden="false" customHeight="false" outlineLevel="0" collapsed="false">
      <c r="A13" s="6" t="s">
        <v>184</v>
      </c>
      <c r="B13" s="11" t="s">
        <v>209</v>
      </c>
      <c r="C13" s="11" t="s">
        <v>210</v>
      </c>
      <c r="D13" s="11" t="s">
        <v>211</v>
      </c>
      <c r="E13" s="6" t="s">
        <v>212</v>
      </c>
      <c r="F13" s="6"/>
      <c r="G13" s="6" t="s">
        <v>213</v>
      </c>
    </row>
    <row r="14" customFormat="false" ht="17.15" hidden="false" customHeight="false" outlineLevel="0" collapsed="false">
      <c r="A14" s="12" t="s">
        <v>191</v>
      </c>
      <c r="B14" s="28" t="n">
        <v>2415</v>
      </c>
      <c r="C14" s="28" t="n">
        <v>2415</v>
      </c>
      <c r="D14" s="28" t="n">
        <v>2415</v>
      </c>
      <c r="E14" s="9" t="str">
        <f aca="false">IF(AND(B14=C14,C14=D14),"✓ 一致","✗ 不一致")</f>
        <v>✓ 一致</v>
      </c>
      <c r="G14" s="12" t="s">
        <v>214</v>
      </c>
    </row>
    <row r="15" customFormat="false" ht="17.15" hidden="false" customHeight="false" outlineLevel="0" collapsed="false">
      <c r="A15" s="12" t="s">
        <v>189</v>
      </c>
      <c r="B15" s="28" t="n">
        <v>237.5</v>
      </c>
      <c r="C15" s="28" t="n">
        <v>237.5</v>
      </c>
      <c r="D15" s="7" t="s">
        <v>215</v>
      </c>
      <c r="E15" s="9" t="str">
        <f aca="false">IF(B15=C15,"✓ 一致(兩源)","✗ 不一致")</f>
        <v>✓ 一致(兩源)</v>
      </c>
      <c r="G15" s="12" t="s">
        <v>216</v>
      </c>
    </row>
    <row r="16" customFormat="false" ht="17.15" hidden="false" customHeight="false" outlineLevel="0" collapsed="false">
      <c r="A16" s="12" t="s">
        <v>192</v>
      </c>
      <c r="B16" s="28" t="n">
        <v>3925</v>
      </c>
      <c r="C16" s="28" t="n">
        <v>3925</v>
      </c>
      <c r="D16" s="28" t="n">
        <v>3925</v>
      </c>
      <c r="E16" s="9" t="str">
        <f aca="false">IF(AND(B16=C16,C16=D16),"✓ 一致","✗ 不一致")</f>
        <v>✓ 一致</v>
      </c>
      <c r="G16" s="12" t="s">
        <v>217</v>
      </c>
    </row>
    <row r="17" customFormat="false" ht="17.15" hidden="false" customHeight="false" outlineLevel="0" collapsed="false">
      <c r="A17" s="12" t="s">
        <v>194</v>
      </c>
      <c r="B17" s="28" t="n">
        <v>96.3</v>
      </c>
      <c r="C17" s="28" t="n">
        <v>96.3</v>
      </c>
      <c r="D17" s="28" t="n">
        <v>96.3</v>
      </c>
      <c r="E17" s="9" t="str">
        <f aca="false">IF(AND(B17=C17,C17=D17),"✓ 一致","✗ 不一致")</f>
        <v>✓ 一致</v>
      </c>
      <c r="G17" s="12" t="s">
        <v>218</v>
      </c>
    </row>
    <row r="18" customFormat="false" ht="17.15" hidden="false" customHeight="false" outlineLevel="0" collapsed="false">
      <c r="A18" s="12" t="s">
        <v>193</v>
      </c>
      <c r="B18" s="28" t="n">
        <v>194.5</v>
      </c>
      <c r="C18" s="28" t="n">
        <v>194.5</v>
      </c>
      <c r="D18" s="7" t="s">
        <v>215</v>
      </c>
      <c r="E18" s="9" t="str">
        <f aca="false">IF(B18=C18,"✓ 一致(兩源)","✗ 不一致")</f>
        <v>✓ 一致(兩源)</v>
      </c>
      <c r="G18" s="12" t="s">
        <v>216</v>
      </c>
    </row>
    <row r="19" customFormat="false" ht="17.15" hidden="false" customHeight="false" outlineLevel="0" collapsed="false">
      <c r="A19" s="12" t="s">
        <v>187</v>
      </c>
      <c r="B19" s="28" t="n">
        <v>1880</v>
      </c>
      <c r="C19" s="28" t="n">
        <v>1880</v>
      </c>
      <c r="D19" s="7" t="s">
        <v>215</v>
      </c>
      <c r="E19" s="9" t="str">
        <f aca="false">IF(B19=C19,"✓ 一致(兩源)","✗ 不一致")</f>
        <v>✓ 一致(兩源)</v>
      </c>
      <c r="G19" s="12" t="s">
        <v>216</v>
      </c>
    </row>
    <row r="21" customFormat="false" ht="17.15" hidden="false" customHeight="false" outlineLevel="0" collapsed="false">
      <c r="A21" s="29" t="s">
        <v>219</v>
      </c>
    </row>
    <row r="22" customFormat="false" ht="17.15" hidden="false" customHeight="false" outlineLevel="0" collapsed="false">
      <c r="A22" s="30" t="s">
        <v>220</v>
      </c>
    </row>
    <row r="23" customFormat="false" ht="17.15" hidden="false" customHeight="false" outlineLevel="0" collapsed="false">
      <c r="A23" s="17" t="s">
        <v>221</v>
      </c>
    </row>
    <row r="24" customFormat="false" ht="17.15" hidden="false" customHeight="false" outlineLevel="0" collapsed="false">
      <c r="A24" s="30" t="s">
        <v>222</v>
      </c>
    </row>
    <row r="25" customFormat="false" ht="17.15" hidden="false" customHeight="false" outlineLevel="0" collapsed="false">
      <c r="A25" s="30" t="s">
        <v>223</v>
      </c>
    </row>
    <row r="26" customFormat="false" ht="17.15" hidden="false" customHeight="false" outlineLevel="0" collapsed="false">
      <c r="A26" s="30" t="s">
        <v>224</v>
      </c>
    </row>
    <row r="27" customFormat="false" ht="17.15" hidden="false" customHeight="false" outlineLevel="0" collapsed="false">
      <c r="A27" s="30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0"/>
  </cols>
  <sheetData>
    <row r="1" customFormat="false" ht="20.1" hidden="false" customHeight="false" outlineLevel="0" collapsed="false">
      <c r="A1" s="16" t="s">
        <v>226</v>
      </c>
    </row>
    <row r="3" customFormat="false" ht="63.75" hidden="false" customHeight="true" outlineLevel="0" collapsed="false">
      <c r="A3" s="10" t="s">
        <v>227</v>
      </c>
    </row>
    <row r="4" customFormat="false" ht="63.75" hidden="false" customHeight="true" outlineLevel="0" collapsed="false">
      <c r="A4" s="10" t="s">
        <v>228</v>
      </c>
    </row>
    <row r="5" customFormat="false" ht="63.75" hidden="false" customHeight="true" outlineLevel="0" collapsed="false">
      <c r="A5" s="10" t="s">
        <v>229</v>
      </c>
    </row>
    <row r="6" customFormat="false" ht="63.75" hidden="false" customHeight="true" outlineLevel="0" collapsed="false">
      <c r="A6" s="10" t="s">
        <v>230</v>
      </c>
    </row>
    <row r="7" customFormat="false" ht="63.75" hidden="false" customHeight="true" outlineLevel="0" collapsed="false">
      <c r="A7" s="10" t="s">
        <v>231</v>
      </c>
    </row>
    <row r="8" customFormat="false" ht="63.75" hidden="false" customHeight="true" outlineLevel="0" collapsed="false">
      <c r="A8" s="10" t="s">
        <v>232</v>
      </c>
    </row>
    <row r="9" customFormat="false" ht="63.75" hidden="false" customHeight="true" outlineLevel="0" collapsed="false">
      <c r="A9" s="10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2026-07-14T13:36:27Z</dcterms:created>
  <dc:creator>openpyxl</dc:creator>
  <dc:description/>
  <dc:language>en-US</dc:language>
  <cp:lastModifiedBy/>
  <dcterms:modified xsi:type="dcterms:W3CDTF">2026-07-14T13:36:29Z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